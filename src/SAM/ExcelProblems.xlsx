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Arch\home\oNebula\Dev\lab_assignment\src\SAM\"/>
    </mc:Choice>
  </mc:AlternateContent>
  <xr:revisionPtr revIDLastSave="0" documentId="13_ncr:1_{092C7780-A12C-40D4-9DB0-5089A9386C66}" xr6:coauthVersionLast="47" xr6:coauthVersionMax="47" xr10:uidLastSave="{00000000-0000-0000-0000-000000000000}"/>
  <bookViews>
    <workbookView xWindow="-120" yWindow="-120" windowWidth="38640" windowHeight="21840" activeTab="4" xr2:uid="{00000000-000D-0000-FFFF-FFFF00000000}"/>
  </bookViews>
  <sheets>
    <sheet name="Q2-Dice" sheetId="1" r:id="rId1"/>
    <sheet name="Q3-SingleServerQueueSim" sheetId="2" r:id="rId2"/>
    <sheet name="Q6-MonteCarloSim" sheetId="3" r:id="rId3"/>
    <sheet name="Q7-ChiSquareTest" sheetId="4" r:id="rId4"/>
    <sheet name="Q8-KolmogorovSmirnovTest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5" l="1"/>
  <c r="B12" i="5"/>
  <c r="B13" i="5"/>
  <c r="B14" i="5"/>
  <c r="B15" i="5"/>
  <c r="B16" i="5"/>
  <c r="B17" i="5"/>
  <c r="B18" i="5"/>
  <c r="B19" i="5"/>
  <c r="B10" i="5"/>
  <c r="D32" i="4"/>
  <c r="D30" i="4"/>
  <c r="W14" i="4"/>
  <c r="W16" i="4"/>
  <c r="D15" i="4"/>
  <c r="C16" i="4" s="1"/>
  <c r="D16" i="4" s="1"/>
  <c r="D6" i="4"/>
  <c r="D12" i="4" s="1"/>
  <c r="W3" i="4"/>
  <c r="W4" i="4"/>
  <c r="W5" i="4"/>
  <c r="W6" i="4"/>
  <c r="W7" i="4"/>
  <c r="W8" i="4"/>
  <c r="W9" i="4"/>
  <c r="W10" i="4"/>
  <c r="W11" i="4"/>
  <c r="W12" i="4"/>
  <c r="W13" i="4"/>
  <c r="W15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W367" i="4"/>
  <c r="W368" i="4"/>
  <c r="W369" i="4"/>
  <c r="W370" i="4"/>
  <c r="W371" i="4"/>
  <c r="W372" i="4"/>
  <c r="W373" i="4"/>
  <c r="W374" i="4"/>
  <c r="W375" i="4"/>
  <c r="W376" i="4"/>
  <c r="W377" i="4"/>
  <c r="W378" i="4"/>
  <c r="W379" i="4"/>
  <c r="W380" i="4"/>
  <c r="W381" i="4"/>
  <c r="W382" i="4"/>
  <c r="W383" i="4"/>
  <c r="W384" i="4"/>
  <c r="W385" i="4"/>
  <c r="W386" i="4"/>
  <c r="W387" i="4"/>
  <c r="W388" i="4"/>
  <c r="W389" i="4"/>
  <c r="W390" i="4"/>
  <c r="W391" i="4"/>
  <c r="W392" i="4"/>
  <c r="W393" i="4"/>
  <c r="W394" i="4"/>
  <c r="W395" i="4"/>
  <c r="W396" i="4"/>
  <c r="W397" i="4"/>
  <c r="W398" i="4"/>
  <c r="W399" i="4"/>
  <c r="W400" i="4"/>
  <c r="W401" i="4"/>
  <c r="W402" i="4"/>
  <c r="W403" i="4"/>
  <c r="W404" i="4"/>
  <c r="W405" i="4"/>
  <c r="W406" i="4"/>
  <c r="W407" i="4"/>
  <c r="W408" i="4"/>
  <c r="W409" i="4"/>
  <c r="W410" i="4"/>
  <c r="W411" i="4"/>
  <c r="W412" i="4"/>
  <c r="W413" i="4"/>
  <c r="W414" i="4"/>
  <c r="W415" i="4"/>
  <c r="W416" i="4"/>
  <c r="W417" i="4"/>
  <c r="W418" i="4"/>
  <c r="W419" i="4"/>
  <c r="W420" i="4"/>
  <c r="W421" i="4"/>
  <c r="W422" i="4"/>
  <c r="W423" i="4"/>
  <c r="W424" i="4"/>
  <c r="W425" i="4"/>
  <c r="W426" i="4"/>
  <c r="W427" i="4"/>
  <c r="W428" i="4"/>
  <c r="W429" i="4"/>
  <c r="W430" i="4"/>
  <c r="W431" i="4"/>
  <c r="W432" i="4"/>
  <c r="W433" i="4"/>
  <c r="W434" i="4"/>
  <c r="W435" i="4"/>
  <c r="W436" i="4"/>
  <c r="W437" i="4"/>
  <c r="W438" i="4"/>
  <c r="W439" i="4"/>
  <c r="W440" i="4"/>
  <c r="W441" i="4"/>
  <c r="W442" i="4"/>
  <c r="W443" i="4"/>
  <c r="W444" i="4"/>
  <c r="W445" i="4"/>
  <c r="W446" i="4"/>
  <c r="W447" i="4"/>
  <c r="W448" i="4"/>
  <c r="W449" i="4"/>
  <c r="W450" i="4"/>
  <c r="W451" i="4"/>
  <c r="W452" i="4"/>
  <c r="W453" i="4"/>
  <c r="W454" i="4"/>
  <c r="W455" i="4"/>
  <c r="W456" i="4"/>
  <c r="W457" i="4"/>
  <c r="W458" i="4"/>
  <c r="W459" i="4"/>
  <c r="W460" i="4"/>
  <c r="W461" i="4"/>
  <c r="W462" i="4"/>
  <c r="W463" i="4"/>
  <c r="W464" i="4"/>
  <c r="W465" i="4"/>
  <c r="W466" i="4"/>
  <c r="W467" i="4"/>
  <c r="W468" i="4"/>
  <c r="W469" i="4"/>
  <c r="W470" i="4"/>
  <c r="W471" i="4"/>
  <c r="W472" i="4"/>
  <c r="W473" i="4"/>
  <c r="W474" i="4"/>
  <c r="W475" i="4"/>
  <c r="W476" i="4"/>
  <c r="W477" i="4"/>
  <c r="W478" i="4"/>
  <c r="W479" i="4"/>
  <c r="W480" i="4"/>
  <c r="W481" i="4"/>
  <c r="W482" i="4"/>
  <c r="W483" i="4"/>
  <c r="W484" i="4"/>
  <c r="W485" i="4"/>
  <c r="W486" i="4"/>
  <c r="W487" i="4"/>
  <c r="W488" i="4"/>
  <c r="W489" i="4"/>
  <c r="W490" i="4"/>
  <c r="W491" i="4"/>
  <c r="W492" i="4"/>
  <c r="W493" i="4"/>
  <c r="W494" i="4"/>
  <c r="W495" i="4"/>
  <c r="W496" i="4"/>
  <c r="W497" i="4"/>
  <c r="W498" i="4"/>
  <c r="W499" i="4"/>
  <c r="W500" i="4"/>
  <c r="W501" i="4"/>
  <c r="W502" i="4"/>
  <c r="W503" i="4"/>
  <c r="W504" i="4"/>
  <c r="W505" i="4"/>
  <c r="W506" i="4"/>
  <c r="W507" i="4"/>
  <c r="W508" i="4"/>
  <c r="W509" i="4"/>
  <c r="W510" i="4"/>
  <c r="W511" i="4"/>
  <c r="W512" i="4"/>
  <c r="W513" i="4"/>
  <c r="W514" i="4"/>
  <c r="W515" i="4"/>
  <c r="W516" i="4"/>
  <c r="W517" i="4"/>
  <c r="W518" i="4"/>
  <c r="W519" i="4"/>
  <c r="W520" i="4"/>
  <c r="W521" i="4"/>
  <c r="W522" i="4"/>
  <c r="W523" i="4"/>
  <c r="W524" i="4"/>
  <c r="W525" i="4"/>
  <c r="W526" i="4"/>
  <c r="W527" i="4"/>
  <c r="W528" i="4"/>
  <c r="W529" i="4"/>
  <c r="W530" i="4"/>
  <c r="W531" i="4"/>
  <c r="W532" i="4"/>
  <c r="W533" i="4"/>
  <c r="W534" i="4"/>
  <c r="W535" i="4"/>
  <c r="W536" i="4"/>
  <c r="W537" i="4"/>
  <c r="W538" i="4"/>
  <c r="W539" i="4"/>
  <c r="W540" i="4"/>
  <c r="W541" i="4"/>
  <c r="W542" i="4"/>
  <c r="W543" i="4"/>
  <c r="W544" i="4"/>
  <c r="W545" i="4"/>
  <c r="W546" i="4"/>
  <c r="W547" i="4"/>
  <c r="W548" i="4"/>
  <c r="W549" i="4"/>
  <c r="W550" i="4"/>
  <c r="W551" i="4"/>
  <c r="W552" i="4"/>
  <c r="W553" i="4"/>
  <c r="W554" i="4"/>
  <c r="W555" i="4"/>
  <c r="W556" i="4"/>
  <c r="W557" i="4"/>
  <c r="W558" i="4"/>
  <c r="W559" i="4"/>
  <c r="W560" i="4"/>
  <c r="W561" i="4"/>
  <c r="W562" i="4"/>
  <c r="W563" i="4"/>
  <c r="W564" i="4"/>
  <c r="W565" i="4"/>
  <c r="W566" i="4"/>
  <c r="W567" i="4"/>
  <c r="W568" i="4"/>
  <c r="W569" i="4"/>
  <c r="W570" i="4"/>
  <c r="W571" i="4"/>
  <c r="W572" i="4"/>
  <c r="W573" i="4"/>
  <c r="W574" i="4"/>
  <c r="W575" i="4"/>
  <c r="W576" i="4"/>
  <c r="W577" i="4"/>
  <c r="W578" i="4"/>
  <c r="W579" i="4"/>
  <c r="W580" i="4"/>
  <c r="W581" i="4"/>
  <c r="W582" i="4"/>
  <c r="W583" i="4"/>
  <c r="W584" i="4"/>
  <c r="W585" i="4"/>
  <c r="W586" i="4"/>
  <c r="W587" i="4"/>
  <c r="W588" i="4"/>
  <c r="W589" i="4"/>
  <c r="W590" i="4"/>
  <c r="W591" i="4"/>
  <c r="W592" i="4"/>
  <c r="W593" i="4"/>
  <c r="W594" i="4"/>
  <c r="W595" i="4"/>
  <c r="W596" i="4"/>
  <c r="W597" i="4"/>
  <c r="W598" i="4"/>
  <c r="W599" i="4"/>
  <c r="W600" i="4"/>
  <c r="W601" i="4"/>
  <c r="W602" i="4"/>
  <c r="W603" i="4"/>
  <c r="W604" i="4"/>
  <c r="W605" i="4"/>
  <c r="W606" i="4"/>
  <c r="W607" i="4"/>
  <c r="W608" i="4"/>
  <c r="W609" i="4"/>
  <c r="W610" i="4"/>
  <c r="W611" i="4"/>
  <c r="W612" i="4"/>
  <c r="W613" i="4"/>
  <c r="W614" i="4"/>
  <c r="W615" i="4"/>
  <c r="W616" i="4"/>
  <c r="W617" i="4"/>
  <c r="W618" i="4"/>
  <c r="W619" i="4"/>
  <c r="W620" i="4"/>
  <c r="W621" i="4"/>
  <c r="W622" i="4"/>
  <c r="W623" i="4"/>
  <c r="W624" i="4"/>
  <c r="W625" i="4"/>
  <c r="W626" i="4"/>
  <c r="W627" i="4"/>
  <c r="W628" i="4"/>
  <c r="W629" i="4"/>
  <c r="W630" i="4"/>
  <c r="W631" i="4"/>
  <c r="W632" i="4"/>
  <c r="W633" i="4"/>
  <c r="W634" i="4"/>
  <c r="W635" i="4"/>
  <c r="W636" i="4"/>
  <c r="W637" i="4"/>
  <c r="W638" i="4"/>
  <c r="W639" i="4"/>
  <c r="W640" i="4"/>
  <c r="W641" i="4"/>
  <c r="W642" i="4"/>
  <c r="W643" i="4"/>
  <c r="W644" i="4"/>
  <c r="W645" i="4"/>
  <c r="W646" i="4"/>
  <c r="W647" i="4"/>
  <c r="W648" i="4"/>
  <c r="W649" i="4"/>
  <c r="W650" i="4"/>
  <c r="W651" i="4"/>
  <c r="W652" i="4"/>
  <c r="W653" i="4"/>
  <c r="W654" i="4"/>
  <c r="W655" i="4"/>
  <c r="W656" i="4"/>
  <c r="W657" i="4"/>
  <c r="W658" i="4"/>
  <c r="W659" i="4"/>
  <c r="W660" i="4"/>
  <c r="W661" i="4"/>
  <c r="W662" i="4"/>
  <c r="W663" i="4"/>
  <c r="W664" i="4"/>
  <c r="W665" i="4"/>
  <c r="W666" i="4"/>
  <c r="W667" i="4"/>
  <c r="W668" i="4"/>
  <c r="W669" i="4"/>
  <c r="W670" i="4"/>
  <c r="W671" i="4"/>
  <c r="W672" i="4"/>
  <c r="W673" i="4"/>
  <c r="W674" i="4"/>
  <c r="W675" i="4"/>
  <c r="W676" i="4"/>
  <c r="W677" i="4"/>
  <c r="W678" i="4"/>
  <c r="W679" i="4"/>
  <c r="W680" i="4"/>
  <c r="W681" i="4"/>
  <c r="W682" i="4"/>
  <c r="W683" i="4"/>
  <c r="W684" i="4"/>
  <c r="W685" i="4"/>
  <c r="W686" i="4"/>
  <c r="W687" i="4"/>
  <c r="W688" i="4"/>
  <c r="W689" i="4"/>
  <c r="W690" i="4"/>
  <c r="W691" i="4"/>
  <c r="W2" i="4"/>
  <c r="E23" i="5"/>
  <c r="E24" i="5"/>
  <c r="E22" i="5"/>
  <c r="E32" i="4"/>
  <c r="D6" i="5" l="1"/>
  <c r="C10" i="5" a="1"/>
  <c r="C10" i="5" s="1"/>
  <c r="E15" i="4" a="1"/>
  <c r="E15" i="4" s="1"/>
  <c r="F19" i="4"/>
  <c r="F20" i="4"/>
  <c r="F16" i="4"/>
  <c r="F18" i="4"/>
  <c r="F17" i="4"/>
  <c r="F21" i="4"/>
  <c r="F22" i="4"/>
  <c r="F23" i="4"/>
  <c r="F24" i="4"/>
  <c r="F15" i="4"/>
  <c r="C17" i="4"/>
  <c r="D8" i="4"/>
  <c r="D7" i="4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C1001" i="3"/>
  <c r="C1002" i="3"/>
  <c r="C1003" i="3"/>
  <c r="C1004" i="3"/>
  <c r="C1005" i="3"/>
  <c r="D6" i="3"/>
  <c r="D7" i="3"/>
  <c r="D8" i="3"/>
  <c r="D9" i="3"/>
  <c r="D10" i="3"/>
  <c r="D11" i="3"/>
  <c r="D12" i="3"/>
  <c r="D13" i="3"/>
  <c r="D14" i="3"/>
  <c r="D15" i="3"/>
  <c r="C7" i="3"/>
  <c r="C8" i="3"/>
  <c r="C9" i="3"/>
  <c r="C10" i="3"/>
  <c r="C11" i="3"/>
  <c r="C12" i="3"/>
  <c r="C13" i="3"/>
  <c r="C14" i="3"/>
  <c r="C15" i="3"/>
  <c r="C6" i="3"/>
  <c r="G36" i="2"/>
  <c r="J25" i="2"/>
  <c r="J26" i="2"/>
  <c r="J27" i="2"/>
  <c r="J28" i="2"/>
  <c r="J29" i="2"/>
  <c r="J30" i="2"/>
  <c r="D26" i="2"/>
  <c r="D27" i="2"/>
  <c r="D28" i="2"/>
  <c r="D29" i="2"/>
  <c r="D30" i="2"/>
  <c r="J13" i="2"/>
  <c r="L13" i="2" s="1"/>
  <c r="J14" i="2"/>
  <c r="L14" i="2" s="1"/>
  <c r="J15" i="2"/>
  <c r="L15" i="2" s="1"/>
  <c r="J16" i="2"/>
  <c r="L16" i="2" s="1"/>
  <c r="J17" i="2"/>
  <c r="L17" i="2" s="1"/>
  <c r="J18" i="2"/>
  <c r="C13" i="2"/>
  <c r="D13" i="2" s="1"/>
  <c r="F13" i="2" s="1"/>
  <c r="C14" i="2"/>
  <c r="C15" i="2"/>
  <c r="C16" i="2"/>
  <c r="C17" i="2"/>
  <c r="C18" i="2"/>
  <c r="C19" i="2"/>
  <c r="C20" i="2"/>
  <c r="C6" i="1"/>
  <c r="D6" i="1"/>
  <c r="E6" i="1"/>
  <c r="C7" i="1"/>
  <c r="D7" i="1"/>
  <c r="E7" i="1"/>
  <c r="C8" i="1"/>
  <c r="D8" i="1"/>
  <c r="E8" i="1"/>
  <c r="C9" i="1"/>
  <c r="D9" i="1"/>
  <c r="E9" i="1"/>
  <c r="D5" i="1"/>
  <c r="E5" i="1"/>
  <c r="C5" i="1"/>
  <c r="C5" i="3"/>
  <c r="N9" i="3"/>
  <c r="N11" i="3"/>
  <c r="D5" i="3"/>
  <c r="N10" i="3"/>
  <c r="F5" i="3"/>
  <c r="G5" i="3"/>
  <c r="N8" i="3"/>
  <c r="E5" i="3"/>
  <c r="E10" i="5" l="1"/>
  <c r="F10" i="5"/>
  <c r="C17" i="5"/>
  <c r="C16" i="5"/>
  <c r="C15" i="5"/>
  <c r="C19" i="5"/>
  <c r="C12" i="5"/>
  <c r="C18" i="5"/>
  <c r="C14" i="5"/>
  <c r="C13" i="5"/>
  <c r="C11" i="5"/>
  <c r="G15" i="4"/>
  <c r="E16" i="4"/>
  <c r="E21" i="4"/>
  <c r="E22" i="4"/>
  <c r="E17" i="4"/>
  <c r="E18" i="4"/>
  <c r="E19" i="4"/>
  <c r="E24" i="4"/>
  <c r="E20" i="4"/>
  <c r="E23" i="4"/>
  <c r="D17" i="4"/>
  <c r="E952" i="3"/>
  <c r="E888" i="3"/>
  <c r="E792" i="3"/>
  <c r="E728" i="3"/>
  <c r="E712" i="3"/>
  <c r="E568" i="3"/>
  <c r="E376" i="3"/>
  <c r="E312" i="3"/>
  <c r="E280" i="3"/>
  <c r="E216" i="3"/>
  <c r="E184" i="3"/>
  <c r="E120" i="3"/>
  <c r="E72" i="3"/>
  <c r="E56" i="3"/>
  <c r="E24" i="3"/>
  <c r="E345" i="3"/>
  <c r="E297" i="3"/>
  <c r="E249" i="3"/>
  <c r="E201" i="3"/>
  <c r="E185" i="3"/>
  <c r="E838" i="3"/>
  <c r="E965" i="3"/>
  <c r="E869" i="3"/>
  <c r="E325" i="3"/>
  <c r="E261" i="3"/>
  <c r="E92" i="3"/>
  <c r="E910" i="3"/>
  <c r="E222" i="3"/>
  <c r="E892" i="3"/>
  <c r="E780" i="3"/>
  <c r="E684" i="3"/>
  <c r="E556" i="3"/>
  <c r="E412" i="3"/>
  <c r="E220" i="3"/>
  <c r="E327" i="3"/>
  <c r="E462" i="3"/>
  <c r="E317" i="3"/>
  <c r="E1004" i="3"/>
  <c r="E908" i="3"/>
  <c r="E812" i="3"/>
  <c r="E716" i="3"/>
  <c r="E604" i="3"/>
  <c r="E524" i="3"/>
  <c r="E460" i="3"/>
  <c r="E332" i="3"/>
  <c r="E236" i="3"/>
  <c r="E60" i="3"/>
  <c r="E701" i="3"/>
  <c r="E461" i="3"/>
  <c r="E956" i="3"/>
  <c r="E860" i="3"/>
  <c r="E748" i="3"/>
  <c r="E652" i="3"/>
  <c r="E572" i="3"/>
  <c r="E508" i="3"/>
  <c r="E428" i="3"/>
  <c r="E348" i="3"/>
  <c r="E252" i="3"/>
  <c r="E108" i="3"/>
  <c r="E621" i="3"/>
  <c r="E988" i="3"/>
  <c r="E828" i="3"/>
  <c r="E668" i="3"/>
  <c r="E444" i="3"/>
  <c r="E188" i="3"/>
  <c r="E750" i="3"/>
  <c r="E286" i="3"/>
  <c r="E126" i="3"/>
  <c r="E1005" i="3"/>
  <c r="E909" i="3"/>
  <c r="E845" i="3"/>
  <c r="E573" i="3"/>
  <c r="E429" i="3"/>
  <c r="E285" i="3"/>
  <c r="E221" i="3"/>
  <c r="E125" i="3"/>
  <c r="E972" i="3"/>
  <c r="E940" i="3"/>
  <c r="E876" i="3"/>
  <c r="E844" i="3"/>
  <c r="E796" i="3"/>
  <c r="E732" i="3"/>
  <c r="E700" i="3"/>
  <c r="E636" i="3"/>
  <c r="E588" i="3"/>
  <c r="E540" i="3"/>
  <c r="E492" i="3"/>
  <c r="E476" i="3"/>
  <c r="E396" i="3"/>
  <c r="E380" i="3"/>
  <c r="E316" i="3"/>
  <c r="E300" i="3"/>
  <c r="E284" i="3"/>
  <c r="E268" i="3"/>
  <c r="E204" i="3"/>
  <c r="E172" i="3"/>
  <c r="E156" i="3"/>
  <c r="E124" i="3"/>
  <c r="E76" i="3"/>
  <c r="E44" i="3"/>
  <c r="E28" i="3"/>
  <c r="E827" i="3"/>
  <c r="E674" i="3"/>
  <c r="E749" i="3"/>
  <c r="E924" i="3"/>
  <c r="E764" i="3"/>
  <c r="E620" i="3"/>
  <c r="E364" i="3"/>
  <c r="E140" i="3"/>
  <c r="E923" i="3"/>
  <c r="E891" i="3"/>
  <c r="E843" i="3"/>
  <c r="E731" i="3"/>
  <c r="E459" i="3"/>
  <c r="E363" i="3"/>
  <c r="E331" i="3"/>
  <c r="E1002" i="3"/>
  <c r="E986" i="3"/>
  <c r="E970" i="3"/>
  <c r="E954" i="3"/>
  <c r="E922" i="3"/>
  <c r="E906" i="3"/>
  <c r="E890" i="3"/>
  <c r="E874" i="3"/>
  <c r="E858" i="3"/>
  <c r="E842" i="3"/>
  <c r="E826" i="3"/>
  <c r="E810" i="3"/>
  <c r="E794" i="3"/>
  <c r="E762" i="3"/>
  <c r="E746" i="3"/>
  <c r="E730" i="3"/>
  <c r="E714" i="3"/>
  <c r="E698" i="3"/>
  <c r="E682" i="3"/>
  <c r="E666" i="3"/>
  <c r="E650" i="3"/>
  <c r="E634" i="3"/>
  <c r="E618" i="3"/>
  <c r="E602" i="3"/>
  <c r="E570" i="3"/>
  <c r="E554" i="3"/>
  <c r="E538" i="3"/>
  <c r="E522" i="3"/>
  <c r="E506" i="3"/>
  <c r="E490" i="3"/>
  <c r="E474" i="3"/>
  <c r="E458" i="3"/>
  <c r="E442" i="3"/>
  <c r="E410" i="3"/>
  <c r="E394" i="3"/>
  <c r="E378" i="3"/>
  <c r="E362" i="3"/>
  <c r="E346" i="3"/>
  <c r="E330" i="3"/>
  <c r="E314" i="3"/>
  <c r="E298" i="3"/>
  <c r="E282" i="3"/>
  <c r="E250" i="3"/>
  <c r="E234" i="3"/>
  <c r="E218" i="3"/>
  <c r="E202" i="3"/>
  <c r="E186" i="3"/>
  <c r="E154" i="3"/>
  <c r="E138" i="3"/>
  <c r="E122" i="3"/>
  <c r="E90" i="3"/>
  <c r="E74" i="3"/>
  <c r="E58" i="3"/>
  <c r="E26" i="3"/>
  <c r="E137" i="3"/>
  <c r="E121" i="3"/>
  <c r="E73" i="3"/>
  <c r="E987" i="3"/>
  <c r="E587" i="3"/>
  <c r="E938" i="3"/>
  <c r="E778" i="3"/>
  <c r="E586" i="3"/>
  <c r="E426" i="3"/>
  <c r="E266" i="3"/>
  <c r="E170" i="3"/>
  <c r="E106" i="3"/>
  <c r="E42" i="3"/>
  <c r="E667" i="3"/>
  <c r="E379" i="3"/>
  <c r="E985" i="3"/>
  <c r="E921" i="3"/>
  <c r="E873" i="3"/>
  <c r="E1001" i="3"/>
  <c r="E953" i="3"/>
  <c r="E905" i="3"/>
  <c r="E857" i="3"/>
  <c r="E777" i="3"/>
  <c r="E729" i="3"/>
  <c r="E713" i="3"/>
  <c r="E681" i="3"/>
  <c r="E633" i="3"/>
  <c r="E601" i="3"/>
  <c r="E521" i="3"/>
  <c r="E473" i="3"/>
  <c r="E441" i="3"/>
  <c r="E377" i="3"/>
  <c r="E329" i="3"/>
  <c r="E169" i="3"/>
  <c r="E89" i="3"/>
  <c r="E983" i="3"/>
  <c r="E951" i="3"/>
  <c r="E935" i="3"/>
  <c r="E871" i="3"/>
  <c r="E823" i="3"/>
  <c r="E791" i="3"/>
  <c r="E743" i="3"/>
  <c r="E711" i="3"/>
  <c r="E695" i="3"/>
  <c r="E631" i="3"/>
  <c r="E567" i="3"/>
  <c r="E551" i="3"/>
  <c r="E503" i="3"/>
  <c r="E487" i="3"/>
  <c r="E439" i="3"/>
  <c r="E375" i="3"/>
  <c r="E359" i="3"/>
  <c r="E263" i="3"/>
  <c r="E231" i="3"/>
  <c r="E199" i="3"/>
  <c r="E151" i="3"/>
  <c r="E135" i="3"/>
  <c r="E103" i="3"/>
  <c r="E23" i="3"/>
  <c r="E982" i="3"/>
  <c r="E950" i="3"/>
  <c r="E934" i="3"/>
  <c r="E902" i="3"/>
  <c r="E886" i="3"/>
  <c r="E854" i="3"/>
  <c r="E806" i="3"/>
  <c r="E790" i="3"/>
  <c r="E774" i="3"/>
  <c r="E758" i="3"/>
  <c r="E726" i="3"/>
  <c r="E694" i="3"/>
  <c r="E678" i="3"/>
  <c r="E646" i="3"/>
  <c r="E630" i="3"/>
  <c r="E614" i="3"/>
  <c r="E566" i="3"/>
  <c r="E550" i="3"/>
  <c r="E534" i="3"/>
  <c r="E502" i="3"/>
  <c r="E486" i="3"/>
  <c r="E422" i="3"/>
  <c r="E406" i="3"/>
  <c r="E358" i="3"/>
  <c r="E310" i="3"/>
  <c r="E278" i="3"/>
  <c r="E230" i="3"/>
  <c r="E214" i="3"/>
  <c r="E198" i="3"/>
  <c r="E182" i="3"/>
  <c r="E166" i="3"/>
  <c r="E150" i="3"/>
  <c r="E134" i="3"/>
  <c r="E102" i="3"/>
  <c r="E70" i="3"/>
  <c r="E54" i="3"/>
  <c r="E933" i="3"/>
  <c r="E627" i="3"/>
  <c r="E825" i="3"/>
  <c r="E665" i="3"/>
  <c r="E585" i="3"/>
  <c r="E233" i="3"/>
  <c r="E999" i="3"/>
  <c r="E887" i="3"/>
  <c r="E775" i="3"/>
  <c r="E663" i="3"/>
  <c r="E535" i="3"/>
  <c r="E391" i="3"/>
  <c r="E295" i="3"/>
  <c r="E183" i="3"/>
  <c r="E55" i="3"/>
  <c r="E969" i="3"/>
  <c r="E793" i="3"/>
  <c r="E697" i="3"/>
  <c r="E553" i="3"/>
  <c r="E425" i="3"/>
  <c r="E265" i="3"/>
  <c r="E967" i="3"/>
  <c r="E839" i="3"/>
  <c r="E759" i="3"/>
  <c r="E647" i="3"/>
  <c r="E519" i="3"/>
  <c r="E423" i="3"/>
  <c r="E311" i="3"/>
  <c r="E167" i="3"/>
  <c r="E39" i="3"/>
  <c r="E649" i="3"/>
  <c r="E361" i="3"/>
  <c r="E919" i="3"/>
  <c r="E583" i="3"/>
  <c r="E343" i="3"/>
  <c r="E87" i="3"/>
  <c r="E6" i="3"/>
  <c r="E959" i="3"/>
  <c r="E911" i="3"/>
  <c r="E863" i="3"/>
  <c r="E815" i="3"/>
  <c r="E751" i="3"/>
  <c r="E719" i="3"/>
  <c r="E543" i="3"/>
  <c r="E463" i="3"/>
  <c r="E399" i="3"/>
  <c r="E287" i="3"/>
  <c r="E223" i="3"/>
  <c r="E47" i="3"/>
  <c r="E903" i="3"/>
  <c r="E679" i="3"/>
  <c r="E455" i="3"/>
  <c r="E247" i="3"/>
  <c r="E71" i="3"/>
  <c r="E809" i="3"/>
  <c r="E569" i="3"/>
  <c r="E217" i="3"/>
  <c r="E807" i="3"/>
  <c r="E615" i="3"/>
  <c r="E407" i="3"/>
  <c r="E215" i="3"/>
  <c r="E537" i="3"/>
  <c r="E855" i="3"/>
  <c r="E727" i="3"/>
  <c r="E599" i="3"/>
  <c r="E471" i="3"/>
  <c r="E279" i="3"/>
  <c r="E119" i="3"/>
  <c r="E12" i="3"/>
  <c r="E984" i="3"/>
  <c r="E968" i="3"/>
  <c r="E904" i="3"/>
  <c r="E856" i="3"/>
  <c r="E808" i="3"/>
  <c r="E696" i="3"/>
  <c r="E648" i="3"/>
  <c r="E600" i="3"/>
  <c r="E536" i="3"/>
  <c r="E504" i="3"/>
  <c r="E424" i="3"/>
  <c r="E360" i="3"/>
  <c r="E328" i="3"/>
  <c r="E40" i="3"/>
  <c r="E997" i="3"/>
  <c r="E901" i="3"/>
  <c r="E885" i="3"/>
  <c r="E837" i="3"/>
  <c r="E805" i="3"/>
  <c r="E757" i="3"/>
  <c r="E677" i="3"/>
  <c r="E645" i="3"/>
  <c r="E629" i="3"/>
  <c r="E613" i="3"/>
  <c r="E549" i="3"/>
  <c r="E533" i="3"/>
  <c r="E501" i="3"/>
  <c r="E405" i="3"/>
  <c r="E341" i="3"/>
  <c r="E213" i="3"/>
  <c r="E197" i="3"/>
  <c r="E165" i="3"/>
  <c r="E149" i="3"/>
  <c r="E101" i="3"/>
  <c r="E69" i="3"/>
  <c r="E53" i="3"/>
  <c r="E996" i="3"/>
  <c r="E948" i="3"/>
  <c r="E932" i="3"/>
  <c r="E884" i="3"/>
  <c r="E836" i="3"/>
  <c r="E772" i="3"/>
  <c r="E724" i="3"/>
  <c r="E676" i="3"/>
  <c r="E596" i="3"/>
  <c r="E580" i="3"/>
  <c r="E564" i="3"/>
  <c r="E532" i="3"/>
  <c r="E500" i="3"/>
  <c r="E468" i="3"/>
  <c r="E452" i="3"/>
  <c r="E436" i="3"/>
  <c r="E420" i="3"/>
  <c r="E372" i="3"/>
  <c r="E276" i="3"/>
  <c r="E260" i="3"/>
  <c r="E773" i="3"/>
  <c r="E597" i="3"/>
  <c r="E980" i="3"/>
  <c r="E868" i="3"/>
  <c r="E756" i="3"/>
  <c r="E644" i="3"/>
  <c r="E484" i="3"/>
  <c r="E981" i="3"/>
  <c r="E789" i="3"/>
  <c r="E661" i="3"/>
  <c r="E565" i="3"/>
  <c r="E485" i="3"/>
  <c r="E357" i="3"/>
  <c r="E964" i="3"/>
  <c r="E900" i="3"/>
  <c r="E804" i="3"/>
  <c r="E692" i="3"/>
  <c r="E548" i="3"/>
  <c r="E709" i="3"/>
  <c r="E309" i="3"/>
  <c r="E916" i="3"/>
  <c r="E852" i="3"/>
  <c r="E820" i="3"/>
  <c r="E788" i="3"/>
  <c r="E740" i="3"/>
  <c r="E708" i="3"/>
  <c r="E660" i="3"/>
  <c r="E628" i="3"/>
  <c r="E612" i="3"/>
  <c r="E516" i="3"/>
  <c r="E675" i="3"/>
  <c r="E13" i="3"/>
  <c r="E404" i="3"/>
  <c r="E388" i="3"/>
  <c r="E356" i="3"/>
  <c r="E340" i="3"/>
  <c r="E324" i="3"/>
  <c r="E308" i="3"/>
  <c r="E292" i="3"/>
  <c r="E244" i="3"/>
  <c r="E228" i="3"/>
  <c r="E212" i="3"/>
  <c r="E196" i="3"/>
  <c r="E180" i="3"/>
  <c r="E164" i="3"/>
  <c r="E148" i="3"/>
  <c r="E1003" i="3"/>
  <c r="E971" i="3"/>
  <c r="E955" i="3"/>
  <c r="E939" i="3"/>
  <c r="E907" i="3"/>
  <c r="E875" i="3"/>
  <c r="E859" i="3"/>
  <c r="E811" i="3"/>
  <c r="E795" i="3"/>
  <c r="E779" i="3"/>
  <c r="E763" i="3"/>
  <c r="E747" i="3"/>
  <c r="E715" i="3"/>
  <c r="E699" i="3"/>
  <c r="E683" i="3"/>
  <c r="E651" i="3"/>
  <c r="E635" i="3"/>
  <c r="E619" i="3"/>
  <c r="E603" i="3"/>
  <c r="E571" i="3"/>
  <c r="E555" i="3"/>
  <c r="E539" i="3"/>
  <c r="E523" i="3"/>
  <c r="E507" i="3"/>
  <c r="E491" i="3"/>
  <c r="E475" i="3"/>
  <c r="E443" i="3"/>
  <c r="E427" i="3"/>
  <c r="E411" i="3"/>
  <c r="E395" i="3"/>
  <c r="E347" i="3"/>
  <c r="E315" i="3"/>
  <c r="E299" i="3"/>
  <c r="E283" i="3"/>
  <c r="E267" i="3"/>
  <c r="E251" i="3"/>
  <c r="E235" i="3"/>
  <c r="E219" i="3"/>
  <c r="E203" i="3"/>
  <c r="E187" i="3"/>
  <c r="E171" i="3"/>
  <c r="E155" i="3"/>
  <c r="E139" i="3"/>
  <c r="E123" i="3"/>
  <c r="E107" i="3"/>
  <c r="E91" i="3"/>
  <c r="E75" i="3"/>
  <c r="E59" i="3"/>
  <c r="E43" i="3"/>
  <c r="E27" i="3"/>
  <c r="E937" i="3"/>
  <c r="E841" i="3"/>
  <c r="E745" i="3"/>
  <c r="E457" i="3"/>
  <c r="E409" i="3"/>
  <c r="E57" i="3"/>
  <c r="E1000" i="3"/>
  <c r="E936" i="3"/>
  <c r="E920" i="3"/>
  <c r="E872" i="3"/>
  <c r="E840" i="3"/>
  <c r="E824" i="3"/>
  <c r="E776" i="3"/>
  <c r="E760" i="3"/>
  <c r="E744" i="3"/>
  <c r="E680" i="3"/>
  <c r="E664" i="3"/>
  <c r="E632" i="3"/>
  <c r="E616" i="3"/>
  <c r="E584" i="3"/>
  <c r="E552" i="3"/>
  <c r="E520" i="3"/>
  <c r="E488" i="3"/>
  <c r="E472" i="3"/>
  <c r="E456" i="3"/>
  <c r="E440" i="3"/>
  <c r="E408" i="3"/>
  <c r="E392" i="3"/>
  <c r="E344" i="3"/>
  <c r="E296" i="3"/>
  <c r="E264" i="3"/>
  <c r="E248" i="3"/>
  <c r="E232" i="3"/>
  <c r="E200" i="3"/>
  <c r="E168" i="3"/>
  <c r="E152" i="3"/>
  <c r="E136" i="3"/>
  <c r="E104" i="3"/>
  <c r="E88" i="3"/>
  <c r="E870" i="3"/>
  <c r="E326" i="3"/>
  <c r="E262" i="3"/>
  <c r="E100" i="3"/>
  <c r="E36" i="3"/>
  <c r="E979" i="3"/>
  <c r="E947" i="3"/>
  <c r="E915" i="3"/>
  <c r="E883" i="3"/>
  <c r="E851" i="3"/>
  <c r="E819" i="3"/>
  <c r="E771" i="3"/>
  <c r="E739" i="3"/>
  <c r="E707" i="3"/>
  <c r="E691" i="3"/>
  <c r="E643" i="3"/>
  <c r="E611" i="3"/>
  <c r="E595" i="3"/>
  <c r="E579" i="3"/>
  <c r="E563" i="3"/>
  <c r="E531" i="3"/>
  <c r="E515" i="3"/>
  <c r="E499" i="3"/>
  <c r="E483" i="3"/>
  <c r="E467" i="3"/>
  <c r="E451" i="3"/>
  <c r="E435" i="3"/>
  <c r="E419" i="3"/>
  <c r="E403" i="3"/>
  <c r="E387" i="3"/>
  <c r="E371" i="3"/>
  <c r="E355" i="3"/>
  <c r="E339" i="3"/>
  <c r="E323" i="3"/>
  <c r="E307" i="3"/>
  <c r="E291" i="3"/>
  <c r="E275" i="3"/>
  <c r="E259" i="3"/>
  <c r="E243" i="3"/>
  <c r="E227" i="3"/>
  <c r="E211" i="3"/>
  <c r="E195" i="3"/>
  <c r="E179" i="3"/>
  <c r="E163" i="3"/>
  <c r="E147" i="3"/>
  <c r="E131" i="3"/>
  <c r="E115" i="3"/>
  <c r="E99" i="3"/>
  <c r="E83" i="3"/>
  <c r="E67" i="3"/>
  <c r="E51" i="3"/>
  <c r="E35" i="3"/>
  <c r="E19" i="3"/>
  <c r="E132" i="3"/>
  <c r="E68" i="3"/>
  <c r="E995" i="3"/>
  <c r="E963" i="3"/>
  <c r="E931" i="3"/>
  <c r="E899" i="3"/>
  <c r="E835" i="3"/>
  <c r="E787" i="3"/>
  <c r="E755" i="3"/>
  <c r="E256" i="3"/>
  <c r="E48" i="3"/>
  <c r="E15" i="3"/>
  <c r="E990" i="3"/>
  <c r="E974" i="3"/>
  <c r="E958" i="3"/>
  <c r="E942" i="3"/>
  <c r="E926" i="3"/>
  <c r="E894" i="3"/>
  <c r="E878" i="3"/>
  <c r="E862" i="3"/>
  <c r="E846" i="3"/>
  <c r="E830" i="3"/>
  <c r="E814" i="3"/>
  <c r="E798" i="3"/>
  <c r="E782" i="3"/>
  <c r="E766" i="3"/>
  <c r="E734" i="3"/>
  <c r="E718" i="3"/>
  <c r="E702" i="3"/>
  <c r="E686" i="3"/>
  <c r="E670" i="3"/>
  <c r="E654" i="3"/>
  <c r="E638" i="3"/>
  <c r="E622" i="3"/>
  <c r="E606" i="3"/>
  <c r="E590" i="3"/>
  <c r="E574" i="3"/>
  <c r="E558" i="3"/>
  <c r="E542" i="3"/>
  <c r="E526" i="3"/>
  <c r="E510" i="3"/>
  <c r="E494" i="3"/>
  <c r="E478" i="3"/>
  <c r="E446" i="3"/>
  <c r="E430" i="3"/>
  <c r="E414" i="3"/>
  <c r="E398" i="3"/>
  <c r="E382" i="3"/>
  <c r="E366" i="3"/>
  <c r="E350" i="3"/>
  <c r="E334" i="3"/>
  <c r="E318" i="3"/>
  <c r="E302" i="3"/>
  <c r="E270" i="3"/>
  <c r="E254" i="3"/>
  <c r="E238" i="3"/>
  <c r="E206" i="3"/>
  <c r="E190" i="3"/>
  <c r="E174" i="3"/>
  <c r="E158" i="3"/>
  <c r="E142" i="3"/>
  <c r="E110" i="3"/>
  <c r="E94" i="3"/>
  <c r="E78" i="3"/>
  <c r="E62" i="3"/>
  <c r="E46" i="3"/>
  <c r="E30" i="3"/>
  <c r="E116" i="3"/>
  <c r="E84" i="3"/>
  <c r="E52" i="3"/>
  <c r="E20" i="3"/>
  <c r="E9" i="3"/>
  <c r="E14" i="3"/>
  <c r="E989" i="3"/>
  <c r="E973" i="3"/>
  <c r="E957" i="3"/>
  <c r="E941" i="3"/>
  <c r="E925" i="3"/>
  <c r="E893" i="3"/>
  <c r="E877" i="3"/>
  <c r="E861" i="3"/>
  <c r="E829" i="3"/>
  <c r="E797" i="3"/>
  <c r="E781" i="3"/>
  <c r="E765" i="3"/>
  <c r="E733" i="3"/>
  <c r="E717" i="3"/>
  <c r="E685" i="3"/>
  <c r="E669" i="3"/>
  <c r="E653" i="3"/>
  <c r="E637" i="3"/>
  <c r="E605" i="3"/>
  <c r="E589" i="3"/>
  <c r="E541" i="3"/>
  <c r="E525" i="3"/>
  <c r="E509" i="3"/>
  <c r="E493" i="3"/>
  <c r="E477" i="3"/>
  <c r="E445" i="3"/>
  <c r="E413" i="3"/>
  <c r="E397" i="3"/>
  <c r="E381" i="3"/>
  <c r="E365" i="3"/>
  <c r="E349" i="3"/>
  <c r="E333" i="3"/>
  <c r="E269" i="3"/>
  <c r="E253" i="3"/>
  <c r="E237" i="3"/>
  <c r="E205" i="3"/>
  <c r="E189" i="3"/>
  <c r="E157" i="3"/>
  <c r="E141" i="3"/>
  <c r="E109" i="3"/>
  <c r="E93" i="3"/>
  <c r="E77" i="3"/>
  <c r="E61" i="3"/>
  <c r="E29" i="3"/>
  <c r="G867" i="3"/>
  <c r="E867" i="3"/>
  <c r="F803" i="3"/>
  <c r="E803" i="3"/>
  <c r="G723" i="3"/>
  <c r="E723" i="3"/>
  <c r="F659" i="3"/>
  <c r="E659" i="3"/>
  <c r="F547" i="3"/>
  <c r="E547" i="3"/>
  <c r="E994" i="3"/>
  <c r="E978" i="3"/>
  <c r="E962" i="3"/>
  <c r="E946" i="3"/>
  <c r="E930" i="3"/>
  <c r="E914" i="3"/>
  <c r="E898" i="3"/>
  <c r="E882" i="3"/>
  <c r="E866" i="3"/>
  <c r="E850" i="3"/>
  <c r="E834" i="3"/>
  <c r="E818" i="3"/>
  <c r="E802" i="3"/>
  <c r="E786" i="3"/>
  <c r="E770" i="3"/>
  <c r="E754" i="3"/>
  <c r="E738" i="3"/>
  <c r="E722" i="3"/>
  <c r="E706" i="3"/>
  <c r="E690" i="3"/>
  <c r="E658" i="3"/>
  <c r="E642" i="3"/>
  <c r="E626" i="3"/>
  <c r="E610" i="3"/>
  <c r="E594" i="3"/>
  <c r="E578" i="3"/>
  <c r="E562" i="3"/>
  <c r="E546" i="3"/>
  <c r="E530" i="3"/>
  <c r="E514" i="3"/>
  <c r="E498" i="3"/>
  <c r="E482" i="3"/>
  <c r="E466" i="3"/>
  <c r="E450" i="3"/>
  <c r="E434" i="3"/>
  <c r="E418" i="3"/>
  <c r="E402" i="3"/>
  <c r="E386" i="3"/>
  <c r="E370" i="3"/>
  <c r="E354" i="3"/>
  <c r="E338" i="3"/>
  <c r="E322" i="3"/>
  <c r="E306" i="3"/>
  <c r="E290" i="3"/>
  <c r="E274" i="3"/>
  <c r="E258" i="3"/>
  <c r="E242" i="3"/>
  <c r="E226" i="3"/>
  <c r="E210" i="3"/>
  <c r="E194" i="3"/>
  <c r="E178" i="3"/>
  <c r="E162" i="3"/>
  <c r="E146" i="3"/>
  <c r="E130" i="3"/>
  <c r="E114" i="3"/>
  <c r="E98" i="3"/>
  <c r="E82" i="3"/>
  <c r="E66" i="3"/>
  <c r="E50" i="3"/>
  <c r="E34" i="3"/>
  <c r="E18" i="3"/>
  <c r="E993" i="3"/>
  <c r="E977" i="3"/>
  <c r="E961" i="3"/>
  <c r="E945" i="3"/>
  <c r="E929" i="3"/>
  <c r="E913" i="3"/>
  <c r="E897" i="3"/>
  <c r="E881" i="3"/>
  <c r="E865" i="3"/>
  <c r="E849" i="3"/>
  <c r="E833" i="3"/>
  <c r="E817" i="3"/>
  <c r="E801" i="3"/>
  <c r="E785" i="3"/>
  <c r="E769" i="3"/>
  <c r="E753" i="3"/>
  <c r="E737" i="3"/>
  <c r="E721" i="3"/>
  <c r="E705" i="3"/>
  <c r="E513" i="3"/>
  <c r="E401" i="3"/>
  <c r="E289" i="3"/>
  <c r="E257" i="3"/>
  <c r="E129" i="3"/>
  <c r="E960" i="3"/>
  <c r="E912" i="3"/>
  <c r="E816" i="3"/>
  <c r="E720" i="3"/>
  <c r="E400" i="3"/>
  <c r="E288" i="3"/>
  <c r="E689" i="3"/>
  <c r="E673" i="3"/>
  <c r="E657" i="3"/>
  <c r="E641" i="3"/>
  <c r="E625" i="3"/>
  <c r="E609" i="3"/>
  <c r="E593" i="3"/>
  <c r="E577" i="3"/>
  <c r="E561" i="3"/>
  <c r="E545" i="3"/>
  <c r="E529" i="3"/>
  <c r="E497" i="3"/>
  <c r="E481" i="3"/>
  <c r="E465" i="3"/>
  <c r="E449" i="3"/>
  <c r="E433" i="3"/>
  <c r="E417" i="3"/>
  <c r="E385" i="3"/>
  <c r="E369" i="3"/>
  <c r="E353" i="3"/>
  <c r="E337" i="3"/>
  <c r="E321" i="3"/>
  <c r="E305" i="3"/>
  <c r="E273" i="3"/>
  <c r="E241" i="3"/>
  <c r="E225" i="3"/>
  <c r="E209" i="3"/>
  <c r="E193" i="3"/>
  <c r="E177" i="3"/>
  <c r="E161" i="3"/>
  <c r="E145" i="3"/>
  <c r="E113" i="3"/>
  <c r="E97" i="3"/>
  <c r="E81" i="3"/>
  <c r="E65" i="3"/>
  <c r="E49" i="3"/>
  <c r="E33" i="3"/>
  <c r="E17" i="3"/>
  <c r="E992" i="3"/>
  <c r="E976" i="3"/>
  <c r="E944" i="3"/>
  <c r="E928" i="3"/>
  <c r="E896" i="3"/>
  <c r="E880" i="3"/>
  <c r="E864" i="3"/>
  <c r="E848" i="3"/>
  <c r="E832" i="3"/>
  <c r="E800" i="3"/>
  <c r="E784" i="3"/>
  <c r="E768" i="3"/>
  <c r="E752" i="3"/>
  <c r="E736" i="3"/>
  <c r="E704" i="3"/>
  <c r="E688" i="3"/>
  <c r="E672" i="3"/>
  <c r="E656" i="3"/>
  <c r="E640" i="3"/>
  <c r="E624" i="3"/>
  <c r="E608" i="3"/>
  <c r="E592" i="3"/>
  <c r="E576" i="3"/>
  <c r="E560" i="3"/>
  <c r="E544" i="3"/>
  <c r="E528" i="3"/>
  <c r="E512" i="3"/>
  <c r="E496" i="3"/>
  <c r="E480" i="3"/>
  <c r="E464" i="3"/>
  <c r="E448" i="3"/>
  <c r="E432" i="3"/>
  <c r="E416" i="3"/>
  <c r="E384" i="3"/>
  <c r="E368" i="3"/>
  <c r="E352" i="3"/>
  <c r="E336" i="3"/>
  <c r="E320" i="3"/>
  <c r="E304" i="3"/>
  <c r="E240" i="3"/>
  <c r="E208" i="3"/>
  <c r="E176" i="3"/>
  <c r="E160" i="3"/>
  <c r="E144" i="3"/>
  <c r="E112" i="3"/>
  <c r="E96" i="3"/>
  <c r="E80" i="3"/>
  <c r="E32" i="3"/>
  <c r="E991" i="3"/>
  <c r="E943" i="3"/>
  <c r="E927" i="3"/>
  <c r="E895" i="3"/>
  <c r="E831" i="3"/>
  <c r="E767" i="3"/>
  <c r="E735" i="3"/>
  <c r="E687" i="3"/>
  <c r="E655" i="3"/>
  <c r="E639" i="3"/>
  <c r="E607" i="3"/>
  <c r="E575" i="3"/>
  <c r="E511" i="3"/>
  <c r="E495" i="3"/>
  <c r="E447" i="3"/>
  <c r="E415" i="3"/>
  <c r="E383" i="3"/>
  <c r="E351" i="3"/>
  <c r="E271" i="3"/>
  <c r="E239" i="3"/>
  <c r="E207" i="3"/>
  <c r="E175" i="3"/>
  <c r="E143" i="3"/>
  <c r="E95" i="3"/>
  <c r="E79" i="3"/>
  <c r="E31" i="3"/>
  <c r="E272" i="3"/>
  <c r="E224" i="3"/>
  <c r="E192" i="3"/>
  <c r="E128" i="3"/>
  <c r="E64" i="3"/>
  <c r="E16" i="3"/>
  <c r="E975" i="3"/>
  <c r="E879" i="3"/>
  <c r="E847" i="3"/>
  <c r="E799" i="3"/>
  <c r="E783" i="3"/>
  <c r="E703" i="3"/>
  <c r="E671" i="3"/>
  <c r="E623" i="3"/>
  <c r="E591" i="3"/>
  <c r="E559" i="3"/>
  <c r="E527" i="3"/>
  <c r="E479" i="3"/>
  <c r="E431" i="3"/>
  <c r="E367" i="3"/>
  <c r="E335" i="3"/>
  <c r="E319" i="3"/>
  <c r="E303" i="3"/>
  <c r="E255" i="3"/>
  <c r="E191" i="3"/>
  <c r="E159" i="3"/>
  <c r="E127" i="3"/>
  <c r="E111" i="3"/>
  <c r="E63" i="3"/>
  <c r="E813" i="3"/>
  <c r="E557" i="3"/>
  <c r="E301" i="3"/>
  <c r="E173" i="3"/>
  <c r="E45" i="3"/>
  <c r="E7" i="3"/>
  <c r="E998" i="3"/>
  <c r="E966" i="3"/>
  <c r="E918" i="3"/>
  <c r="E822" i="3"/>
  <c r="E742" i="3"/>
  <c r="E710" i="3"/>
  <c r="E662" i="3"/>
  <c r="E598" i="3"/>
  <c r="E582" i="3"/>
  <c r="E518" i="3"/>
  <c r="E470" i="3"/>
  <c r="E454" i="3"/>
  <c r="E438" i="3"/>
  <c r="E390" i="3"/>
  <c r="E374" i="3"/>
  <c r="E342" i="3"/>
  <c r="E294" i="3"/>
  <c r="E246" i="3"/>
  <c r="E118" i="3"/>
  <c r="E86" i="3"/>
  <c r="E38" i="3"/>
  <c r="E22" i="3"/>
  <c r="E949" i="3"/>
  <c r="E917" i="3"/>
  <c r="E853" i="3"/>
  <c r="E821" i="3"/>
  <c r="E741" i="3"/>
  <c r="E725" i="3"/>
  <c r="E693" i="3"/>
  <c r="E581" i="3"/>
  <c r="E517" i="3"/>
  <c r="E469" i="3"/>
  <c r="E453" i="3"/>
  <c r="E437" i="3"/>
  <c r="E421" i="3"/>
  <c r="E389" i="3"/>
  <c r="E373" i="3"/>
  <c r="E293" i="3"/>
  <c r="E277" i="3"/>
  <c r="E245" i="3"/>
  <c r="E229" i="3"/>
  <c r="E181" i="3"/>
  <c r="E133" i="3"/>
  <c r="E117" i="3"/>
  <c r="E85" i="3"/>
  <c r="E37" i="3"/>
  <c r="E21" i="3"/>
  <c r="E10" i="3"/>
  <c r="E8" i="3"/>
  <c r="E889" i="3"/>
  <c r="E761" i="3"/>
  <c r="E617" i="3"/>
  <c r="E505" i="3"/>
  <c r="E489" i="3"/>
  <c r="E393" i="3"/>
  <c r="E313" i="3"/>
  <c r="E281" i="3"/>
  <c r="E153" i="3"/>
  <c r="E105" i="3"/>
  <c r="E41" i="3"/>
  <c r="E25" i="3"/>
  <c r="E11" i="3"/>
  <c r="G972" i="3"/>
  <c r="G828" i="3"/>
  <c r="G684" i="3"/>
  <c r="G994" i="3"/>
  <c r="F962" i="3"/>
  <c r="F930" i="3"/>
  <c r="F834" i="3"/>
  <c r="G802" i="3"/>
  <c r="F786" i="3"/>
  <c r="F706" i="3"/>
  <c r="F690" i="3"/>
  <c r="G610" i="3"/>
  <c r="F530" i="3"/>
  <c r="F498" i="3"/>
  <c r="F450" i="3"/>
  <c r="F418" i="3"/>
  <c r="F322" i="3"/>
  <c r="F290" i="3"/>
  <c r="G242" i="3"/>
  <c r="F210" i="3"/>
  <c r="F559" i="3"/>
  <c r="G527" i="3"/>
  <c r="G917" i="3"/>
  <c r="F661" i="3"/>
  <c r="F662" i="3"/>
  <c r="F666" i="3"/>
  <c r="G1001" i="3"/>
  <c r="G25" i="3"/>
  <c r="F694" i="3"/>
  <c r="G22" i="3"/>
  <c r="F581" i="3"/>
  <c r="F325" i="3"/>
  <c r="F996" i="3"/>
  <c r="F948" i="3"/>
  <c r="F884" i="3"/>
  <c r="F852" i="3"/>
  <c r="G788" i="3"/>
  <c r="F756" i="3"/>
  <c r="F740" i="3"/>
  <c r="F724" i="3"/>
  <c r="F708" i="3"/>
  <c r="F692" i="3"/>
  <c r="F676" i="3"/>
  <c r="F660" i="3"/>
  <c r="F644" i="3"/>
  <c r="F628" i="3"/>
  <c r="F612" i="3"/>
  <c r="F596" i="3"/>
  <c r="F580" i="3"/>
  <c r="F564" i="3"/>
  <c r="F532" i="3"/>
  <c r="F500" i="3"/>
  <c r="F484" i="3"/>
  <c r="F468" i="3"/>
  <c r="F452" i="3"/>
  <c r="F436" i="3"/>
  <c r="F420" i="3"/>
  <c r="F404" i="3"/>
  <c r="F388" i="3"/>
  <c r="F372" i="3"/>
  <c r="F356" i="3"/>
  <c r="F340" i="3"/>
  <c r="F324" i="3"/>
  <c r="F308" i="3"/>
  <c r="F292" i="3"/>
  <c r="F276" i="3"/>
  <c r="F260" i="3"/>
  <c r="F244" i="3"/>
  <c r="F228" i="3"/>
  <c r="F212" i="3"/>
  <c r="F196" i="3"/>
  <c r="F180" i="3"/>
  <c r="F164" i="3"/>
  <c r="F148" i="3"/>
  <c r="F132" i="3"/>
  <c r="F116" i="3"/>
  <c r="G100" i="3"/>
  <c r="F84" i="3"/>
  <c r="F68" i="3"/>
  <c r="F980" i="3"/>
  <c r="F932" i="3"/>
  <c r="F900" i="3"/>
  <c r="F868" i="3"/>
  <c r="F836" i="3"/>
  <c r="G804" i="3"/>
  <c r="F548" i="3"/>
  <c r="F15" i="3"/>
  <c r="G753" i="3"/>
  <c r="G513" i="3"/>
  <c r="G433" i="3"/>
  <c r="G385" i="3"/>
  <c r="F223" i="3"/>
  <c r="F159" i="3"/>
  <c r="F47" i="3"/>
  <c r="F31" i="3"/>
  <c r="G803" i="3"/>
  <c r="G993" i="3"/>
  <c r="F998" i="3"/>
  <c r="F310" i="3"/>
  <c r="F901" i="3"/>
  <c r="F789" i="3"/>
  <c r="G645" i="3"/>
  <c r="F549" i="3"/>
  <c r="G517" i="3"/>
  <c r="F309" i="3"/>
  <c r="F293" i="3"/>
  <c r="F245" i="3"/>
  <c r="G101" i="3"/>
  <c r="F36" i="3"/>
  <c r="F20" i="3"/>
  <c r="F912" i="3"/>
  <c r="F832" i="3"/>
  <c r="F736" i="3"/>
  <c r="F656" i="3"/>
  <c r="G512" i="3"/>
  <c r="F432" i="3"/>
  <c r="F368" i="3"/>
  <c r="F192" i="3"/>
  <c r="F16" i="3"/>
  <c r="G873" i="3"/>
  <c r="G809" i="3"/>
  <c r="G713" i="3"/>
  <c r="G249" i="3"/>
  <c r="G169" i="3"/>
  <c r="G518" i="3"/>
  <c r="F278" i="3"/>
  <c r="F997" i="3"/>
  <c r="F917" i="3"/>
  <c r="F821" i="3"/>
  <c r="F757" i="3"/>
  <c r="G709" i="3"/>
  <c r="F693" i="3"/>
  <c r="F565" i="3"/>
  <c r="G389" i="3"/>
  <c r="F357" i="3"/>
  <c r="F277" i="3"/>
  <c r="F149" i="3"/>
  <c r="F69" i="3"/>
  <c r="F864" i="3"/>
  <c r="F704" i="3"/>
  <c r="F576" i="3"/>
  <c r="F496" i="3"/>
  <c r="F416" i="3"/>
  <c r="F288" i="3"/>
  <c r="G176" i="3"/>
  <c r="F96" i="3"/>
  <c r="F960" i="3"/>
  <c r="F816" i="3"/>
  <c r="F560" i="3"/>
  <c r="F464" i="3"/>
  <c r="F384" i="3"/>
  <c r="F304" i="3"/>
  <c r="F112" i="3"/>
  <c r="F32" i="3"/>
  <c r="G992" i="3"/>
  <c r="G800" i="3"/>
  <c r="F720" i="3"/>
  <c r="F640" i="3"/>
  <c r="F400" i="3"/>
  <c r="F240" i="3"/>
  <c r="F160" i="3"/>
  <c r="F80" i="3"/>
  <c r="F976" i="3"/>
  <c r="F896" i="3"/>
  <c r="F768" i="3"/>
  <c r="F688" i="3"/>
  <c r="F528" i="3"/>
  <c r="F448" i="3"/>
  <c r="F336" i="3"/>
  <c r="F224" i="3"/>
  <c r="F144" i="3"/>
  <c r="F48" i="3"/>
  <c r="F557" i="3"/>
  <c r="F995" i="3"/>
  <c r="F963" i="3"/>
  <c r="F931" i="3"/>
  <c r="F915" i="3"/>
  <c r="G899" i="3"/>
  <c r="G883" i="3"/>
  <c r="F867" i="3"/>
  <c r="G851" i="3"/>
  <c r="F835" i="3"/>
  <c r="G787" i="3"/>
  <c r="F755" i="3"/>
  <c r="F723" i="3"/>
  <c r="F707" i="3"/>
  <c r="F675" i="3"/>
  <c r="G627" i="3"/>
  <c r="F611" i="3"/>
  <c r="F595" i="3"/>
  <c r="F579" i="3"/>
  <c r="G547" i="3"/>
  <c r="F531" i="3"/>
  <c r="F515" i="3"/>
  <c r="F499" i="3"/>
  <c r="F483" i="3"/>
  <c r="F451" i="3"/>
  <c r="F435" i="3"/>
  <c r="F403" i="3"/>
  <c r="F387" i="3"/>
  <c r="F355" i="3"/>
  <c r="F323" i="3"/>
  <c r="G291" i="3"/>
  <c r="F275" i="3"/>
  <c r="F243" i="3"/>
  <c r="G227" i="3"/>
  <c r="G195" i="3"/>
  <c r="F179" i="3"/>
  <c r="F163" i="3"/>
  <c r="F147" i="3"/>
  <c r="F115" i="3"/>
  <c r="F99" i="3"/>
  <c r="G83" i="3"/>
  <c r="G67" i="3"/>
  <c r="F19" i="3"/>
  <c r="F227" i="3"/>
  <c r="G397" i="3"/>
  <c r="F899" i="3"/>
  <c r="F746" i="3"/>
  <c r="F458" i="3"/>
  <c r="F186" i="3"/>
  <c r="G1000" i="3"/>
  <c r="G904" i="3"/>
  <c r="G824" i="3"/>
  <c r="G744" i="3"/>
  <c r="G648" i="3"/>
  <c r="G616" i="3"/>
  <c r="G456" i="3"/>
  <c r="G611" i="3"/>
  <c r="G941" i="3"/>
  <c r="G531" i="3"/>
  <c r="F883" i="3"/>
  <c r="G429" i="3"/>
  <c r="F934" i="3"/>
  <c r="F790" i="3"/>
  <c r="F678" i="3"/>
  <c r="F614" i="3"/>
  <c r="F582" i="3"/>
  <c r="G566" i="3"/>
  <c r="F550" i="3"/>
  <c r="F534" i="3"/>
  <c r="F518" i="3"/>
  <c r="F502" i="3"/>
  <c r="F486" i="3"/>
  <c r="F470" i="3"/>
  <c r="F454" i="3"/>
  <c r="G438" i="3"/>
  <c r="F406" i="3"/>
  <c r="G390" i="3"/>
  <c r="F358" i="3"/>
  <c r="F342" i="3"/>
  <c r="F326" i="3"/>
  <c r="F294" i="3"/>
  <c r="F262" i="3"/>
  <c r="F246" i="3"/>
  <c r="F230" i="3"/>
  <c r="F214" i="3"/>
  <c r="F198" i="3"/>
  <c r="G182" i="3"/>
  <c r="F166" i="3"/>
  <c r="G150" i="3"/>
  <c r="F134" i="3"/>
  <c r="F118" i="3"/>
  <c r="G102" i="3"/>
  <c r="F70" i="3"/>
  <c r="F54" i="3"/>
  <c r="F38" i="3"/>
  <c r="F22" i="3"/>
  <c r="G499" i="3"/>
  <c r="F802" i="3"/>
  <c r="G685" i="3"/>
  <c r="G966" i="3"/>
  <c r="G662" i="3"/>
  <c r="F869" i="3"/>
  <c r="F645" i="3"/>
  <c r="F613" i="3"/>
  <c r="F485" i="3"/>
  <c r="G453" i="3"/>
  <c r="F389" i="3"/>
  <c r="G245" i="3"/>
  <c r="F181" i="3"/>
  <c r="F133" i="3"/>
  <c r="F117" i="3"/>
  <c r="G323" i="3"/>
  <c r="F942" i="3"/>
  <c r="F110" i="3"/>
  <c r="G957" i="3"/>
  <c r="G925" i="3"/>
  <c r="G861" i="3"/>
  <c r="G829" i="3"/>
  <c r="G765" i="3"/>
  <c r="G733" i="3"/>
  <c r="G701" i="3"/>
  <c r="G669" i="3"/>
  <c r="G653" i="3"/>
  <c r="G621" i="3"/>
  <c r="G557" i="3"/>
  <c r="G525" i="3"/>
  <c r="G413" i="3"/>
  <c r="G365" i="3"/>
  <c r="G349" i="3"/>
  <c r="G317" i="3"/>
  <c r="G253" i="3"/>
  <c r="G221" i="3"/>
  <c r="G189" i="3"/>
  <c r="G125" i="3"/>
  <c r="G109" i="3"/>
  <c r="G45" i="3"/>
  <c r="F982" i="3"/>
  <c r="F902" i="3"/>
  <c r="G870" i="3"/>
  <c r="F758" i="3"/>
  <c r="F726" i="3"/>
  <c r="G694" i="3"/>
  <c r="F949" i="3"/>
  <c r="F882" i="3"/>
  <c r="F850" i="3"/>
  <c r="G386" i="3"/>
  <c r="F178" i="3"/>
  <c r="F788" i="3"/>
  <c r="F102" i="3"/>
  <c r="F766" i="3"/>
  <c r="F973" i="3"/>
  <c r="G998" i="3"/>
  <c r="F918" i="3"/>
  <c r="F854" i="3"/>
  <c r="F774" i="3"/>
  <c r="F710" i="3"/>
  <c r="F598" i="3"/>
  <c r="G163" i="3"/>
  <c r="F787" i="3"/>
  <c r="F100" i="3"/>
  <c r="G989" i="3"/>
  <c r="G445" i="3"/>
  <c r="F950" i="3"/>
  <c r="F886" i="3"/>
  <c r="G822" i="3"/>
  <c r="F742" i="3"/>
  <c r="G646" i="3"/>
  <c r="F965" i="3"/>
  <c r="F125" i="3"/>
  <c r="F350" i="3"/>
  <c r="F14" i="3"/>
  <c r="F895" i="3"/>
  <c r="F815" i="3"/>
  <c r="G996" i="3"/>
  <c r="G115" i="3"/>
  <c r="F804" i="3"/>
  <c r="F453" i="3"/>
  <c r="F987" i="3"/>
  <c r="F891" i="3"/>
  <c r="F795" i="3"/>
  <c r="F667" i="3"/>
  <c r="F363" i="3"/>
  <c r="F219" i="3"/>
  <c r="F27" i="3"/>
  <c r="F1002" i="3"/>
  <c r="F970" i="3"/>
  <c r="F954" i="3"/>
  <c r="F922" i="3"/>
  <c r="F874" i="3"/>
  <c r="F842" i="3"/>
  <c r="F810" i="3"/>
  <c r="F778" i="3"/>
  <c r="F714" i="3"/>
  <c r="F682" i="3"/>
  <c r="F634" i="3"/>
  <c r="F602" i="3"/>
  <c r="F570" i="3"/>
  <c r="F554" i="3"/>
  <c r="F506" i="3"/>
  <c r="F474" i="3"/>
  <c r="F442" i="3"/>
  <c r="F410" i="3"/>
  <c r="F394" i="3"/>
  <c r="F362" i="3"/>
  <c r="F346" i="3"/>
  <c r="F314" i="3"/>
  <c r="F266" i="3"/>
  <c r="F234" i="3"/>
  <c r="F202" i="3"/>
  <c r="F170" i="3"/>
  <c r="F138" i="3"/>
  <c r="F106" i="3"/>
  <c r="F74" i="3"/>
  <c r="F42" i="3"/>
  <c r="F26" i="3"/>
  <c r="F646" i="3"/>
  <c r="F397" i="3"/>
  <c r="F189" i="3"/>
  <c r="G969" i="3"/>
  <c r="F390" i="3"/>
  <c r="F291" i="3"/>
  <c r="F83" i="3"/>
  <c r="F109" i="3"/>
  <c r="F1003" i="3"/>
  <c r="F907" i="3"/>
  <c r="F811" i="3"/>
  <c r="F715" i="3"/>
  <c r="F635" i="3"/>
  <c r="F539" i="3"/>
  <c r="F427" i="3"/>
  <c r="F331" i="3"/>
  <c r="F235" i="3"/>
  <c r="F123" i="3"/>
  <c r="F43" i="3"/>
  <c r="F986" i="3"/>
  <c r="F938" i="3"/>
  <c r="F906" i="3"/>
  <c r="F890" i="3"/>
  <c r="G858" i="3"/>
  <c r="F826" i="3"/>
  <c r="F794" i="3"/>
  <c r="F762" i="3"/>
  <c r="F730" i="3"/>
  <c r="F698" i="3"/>
  <c r="F650" i="3"/>
  <c r="F618" i="3"/>
  <c r="F586" i="3"/>
  <c r="F538" i="3"/>
  <c r="G490" i="3"/>
  <c r="G458" i="3"/>
  <c r="F426" i="3"/>
  <c r="F378" i="3"/>
  <c r="F330" i="3"/>
  <c r="F298" i="3"/>
  <c r="F250" i="3"/>
  <c r="F218" i="3"/>
  <c r="F154" i="3"/>
  <c r="F122" i="3"/>
  <c r="F90" i="3"/>
  <c r="F58" i="3"/>
  <c r="G454" i="3"/>
  <c r="F861" i="3"/>
  <c r="G973" i="3"/>
  <c r="F955" i="3"/>
  <c r="F939" i="3"/>
  <c r="F875" i="3"/>
  <c r="F843" i="3"/>
  <c r="F779" i="3"/>
  <c r="F747" i="3"/>
  <c r="F699" i="3"/>
  <c r="F651" i="3"/>
  <c r="F603" i="3"/>
  <c r="F571" i="3"/>
  <c r="F507" i="3"/>
  <c r="F411" i="3"/>
  <c r="F379" i="3"/>
  <c r="F315" i="3"/>
  <c r="F251" i="3"/>
  <c r="F203" i="3"/>
  <c r="F155" i="3"/>
  <c r="F107" i="3"/>
  <c r="F75" i="3"/>
  <c r="F858" i="3"/>
  <c r="F765" i="3"/>
  <c r="F621" i="3"/>
  <c r="F385" i="3"/>
  <c r="G720" i="3"/>
  <c r="F957" i="3"/>
  <c r="F981" i="3"/>
  <c r="G965" i="3"/>
  <c r="F885" i="3"/>
  <c r="F853" i="3"/>
  <c r="F837" i="3"/>
  <c r="G821" i="3"/>
  <c r="F805" i="3"/>
  <c r="F773" i="3"/>
  <c r="F741" i="3"/>
  <c r="F725" i="3"/>
  <c r="F709" i="3"/>
  <c r="F677" i="3"/>
  <c r="G661" i="3"/>
  <c r="F629" i="3"/>
  <c r="F597" i="3"/>
  <c r="F533" i="3"/>
  <c r="F517" i="3"/>
  <c r="F501" i="3"/>
  <c r="F469" i="3"/>
  <c r="F437" i="3"/>
  <c r="F421" i="3"/>
  <c r="F405" i="3"/>
  <c r="F373" i="3"/>
  <c r="F341" i="3"/>
  <c r="F261" i="3"/>
  <c r="F229" i="3"/>
  <c r="F213" i="3"/>
  <c r="F197" i="3"/>
  <c r="F165" i="3"/>
  <c r="F101" i="3"/>
  <c r="F85" i="3"/>
  <c r="F53" i="3"/>
  <c r="F37" i="3"/>
  <c r="G21" i="3"/>
  <c r="G710" i="3"/>
  <c r="G355" i="3"/>
  <c r="F150" i="3"/>
  <c r="F67" i="3"/>
  <c r="F221" i="3"/>
  <c r="F971" i="3"/>
  <c r="F923" i="3"/>
  <c r="F827" i="3"/>
  <c r="F763" i="3"/>
  <c r="F731" i="3"/>
  <c r="F683" i="3"/>
  <c r="F619" i="3"/>
  <c r="F587" i="3"/>
  <c r="F555" i="3"/>
  <c r="F475" i="3"/>
  <c r="F443" i="3"/>
  <c r="F395" i="3"/>
  <c r="F347" i="3"/>
  <c r="F299" i="3"/>
  <c r="F267" i="3"/>
  <c r="F171" i="3"/>
  <c r="F139" i="3"/>
  <c r="F91" i="3"/>
  <c r="F59" i="3"/>
  <c r="F490" i="3"/>
  <c r="G706" i="3"/>
  <c r="G246" i="3"/>
  <c r="F941" i="3"/>
  <c r="F349" i="3"/>
  <c r="F859" i="3"/>
  <c r="F523" i="3"/>
  <c r="F187" i="3"/>
  <c r="F45" i="3"/>
  <c r="F994" i="3"/>
  <c r="G962" i="3"/>
  <c r="G930" i="3"/>
  <c r="G898" i="3"/>
  <c r="G882" i="3"/>
  <c r="G850" i="3"/>
  <c r="G834" i="3"/>
  <c r="G786" i="3"/>
  <c r="G754" i="3"/>
  <c r="G722" i="3"/>
  <c r="G690" i="3"/>
  <c r="G626" i="3"/>
  <c r="F610" i="3"/>
  <c r="G594" i="3"/>
  <c r="G530" i="3"/>
  <c r="G498" i="3"/>
  <c r="F466" i="3"/>
  <c r="G450" i="3"/>
  <c r="G418" i="3"/>
  <c r="F386" i="3"/>
  <c r="G322" i="3"/>
  <c r="G290" i="3"/>
  <c r="F242" i="3"/>
  <c r="G210" i="3"/>
  <c r="G194" i="3"/>
  <c r="G178" i="3"/>
  <c r="G146" i="3"/>
  <c r="G82" i="3"/>
  <c r="G675" i="3"/>
  <c r="F594" i="3"/>
  <c r="F21" i="3"/>
  <c r="G609" i="3"/>
  <c r="F609" i="3"/>
  <c r="F848" i="3"/>
  <c r="G848" i="3"/>
  <c r="G784" i="3"/>
  <c r="F784" i="3"/>
  <c r="G752" i="3"/>
  <c r="F752" i="3"/>
  <c r="F672" i="3"/>
  <c r="G672" i="3"/>
  <c r="G624" i="3"/>
  <c r="F624" i="3"/>
  <c r="F608" i="3"/>
  <c r="G608" i="3"/>
  <c r="G592" i="3"/>
  <c r="F592" i="3"/>
  <c r="G544" i="3"/>
  <c r="F544" i="3"/>
  <c r="G480" i="3"/>
  <c r="F480" i="3"/>
  <c r="G352" i="3"/>
  <c r="F352" i="3"/>
  <c r="G320" i="3"/>
  <c r="F320" i="3"/>
  <c r="F272" i="3"/>
  <c r="G272" i="3"/>
  <c r="G256" i="3"/>
  <c r="F256" i="3"/>
  <c r="G208" i="3"/>
  <c r="F208" i="3"/>
  <c r="G128" i="3"/>
  <c r="F128" i="3"/>
  <c r="G64" i="3"/>
  <c r="F64" i="3"/>
  <c r="F991" i="3"/>
  <c r="G991" i="3"/>
  <c r="F975" i="3"/>
  <c r="G975" i="3"/>
  <c r="F959" i="3"/>
  <c r="G943" i="3"/>
  <c r="F927" i="3"/>
  <c r="G927" i="3"/>
  <c r="F911" i="3"/>
  <c r="G879" i="3"/>
  <c r="F879" i="3"/>
  <c r="G863" i="3"/>
  <c r="G847" i="3"/>
  <c r="F847" i="3"/>
  <c r="F831" i="3"/>
  <c r="G831" i="3"/>
  <c r="F799" i="3"/>
  <c r="G799" i="3"/>
  <c r="G783" i="3"/>
  <c r="F783" i="3"/>
  <c r="G767" i="3"/>
  <c r="F767" i="3"/>
  <c r="F751" i="3"/>
  <c r="G751" i="3"/>
  <c r="F735" i="3"/>
  <c r="G719" i="3"/>
  <c r="G703" i="3"/>
  <c r="F703" i="3"/>
  <c r="G687" i="3"/>
  <c r="F687" i="3"/>
  <c r="G671" i="3"/>
  <c r="F671" i="3"/>
  <c r="F655" i="3"/>
  <c r="G655" i="3"/>
  <c r="F639" i="3"/>
  <c r="G623" i="3"/>
  <c r="F623" i="3"/>
  <c r="F607" i="3"/>
  <c r="F591" i="3"/>
  <c r="G591" i="3"/>
  <c r="F575" i="3"/>
  <c r="F543" i="3"/>
  <c r="G543" i="3"/>
  <c r="F527" i="3"/>
  <c r="F511" i="3"/>
  <c r="G511" i="3"/>
  <c r="F495" i="3"/>
  <c r="G495" i="3"/>
  <c r="G479" i="3"/>
  <c r="F479" i="3"/>
  <c r="G463" i="3"/>
  <c r="F463" i="3"/>
  <c r="F447" i="3"/>
  <c r="F431" i="3"/>
  <c r="G431" i="3"/>
  <c r="G415" i="3"/>
  <c r="F415" i="3"/>
  <c r="F399" i="3"/>
  <c r="G399" i="3"/>
  <c r="F383" i="3"/>
  <c r="F367" i="3"/>
  <c r="G351" i="3"/>
  <c r="F351" i="3"/>
  <c r="F335" i="3"/>
  <c r="G319" i="3"/>
  <c r="F319" i="3"/>
  <c r="G303" i="3"/>
  <c r="F303" i="3"/>
  <c r="F287" i="3"/>
  <c r="F271" i="3"/>
  <c r="G271" i="3"/>
  <c r="F255" i="3"/>
  <c r="F239" i="3"/>
  <c r="G207" i="3"/>
  <c r="F111" i="3"/>
  <c r="F95" i="3"/>
  <c r="G31" i="3"/>
  <c r="G13" i="3"/>
  <c r="F13" i="3"/>
  <c r="G990" i="3"/>
  <c r="F990" i="3"/>
  <c r="G974" i="3"/>
  <c r="F974" i="3"/>
  <c r="G958" i="3"/>
  <c r="F958" i="3"/>
  <c r="G942" i="3"/>
  <c r="G926" i="3"/>
  <c r="F926" i="3"/>
  <c r="G910" i="3"/>
  <c r="F910" i="3"/>
  <c r="G894" i="3"/>
  <c r="F894" i="3"/>
  <c r="G878" i="3"/>
  <c r="F878" i="3"/>
  <c r="G862" i="3"/>
  <c r="F862" i="3"/>
  <c r="G846" i="3"/>
  <c r="F846" i="3"/>
  <c r="G830" i="3"/>
  <c r="F830" i="3"/>
  <c r="G814" i="3"/>
  <c r="F814" i="3"/>
  <c r="G798" i="3"/>
  <c r="F798" i="3"/>
  <c r="G782" i="3"/>
  <c r="F782" i="3"/>
  <c r="G766" i="3"/>
  <c r="G750" i="3"/>
  <c r="F750" i="3"/>
  <c r="G734" i="3"/>
  <c r="F734" i="3"/>
  <c r="G718" i="3"/>
  <c r="G702" i="3"/>
  <c r="F702" i="3"/>
  <c r="G686" i="3"/>
  <c r="F686" i="3"/>
  <c r="G670" i="3"/>
  <c r="F670" i="3"/>
  <c r="G654" i="3"/>
  <c r="F654" i="3"/>
  <c r="G638" i="3"/>
  <c r="F638" i="3"/>
  <c r="G622" i="3"/>
  <c r="F622" i="3"/>
  <c r="G606" i="3"/>
  <c r="F606" i="3"/>
  <c r="G590" i="3"/>
  <c r="F590" i="3"/>
  <c r="G574" i="3"/>
  <c r="F574" i="3"/>
  <c r="G558" i="3"/>
  <c r="F558" i="3"/>
  <c r="G542" i="3"/>
  <c r="F542" i="3"/>
  <c r="G526" i="3"/>
  <c r="F526" i="3"/>
  <c r="G510" i="3"/>
  <c r="F510" i="3"/>
  <c r="G494" i="3"/>
  <c r="F494" i="3"/>
  <c r="G478" i="3"/>
  <c r="F478" i="3"/>
  <c r="G462" i="3"/>
  <c r="F462" i="3"/>
  <c r="G446" i="3"/>
  <c r="F446" i="3"/>
  <c r="G430" i="3"/>
  <c r="F430" i="3"/>
  <c r="G414" i="3"/>
  <c r="F414" i="3"/>
  <c r="G398" i="3"/>
  <c r="G382" i="3"/>
  <c r="F382" i="3"/>
  <c r="G366" i="3"/>
  <c r="F366" i="3"/>
  <c r="G350" i="3"/>
  <c r="G334" i="3"/>
  <c r="F334" i="3"/>
  <c r="G318" i="3"/>
  <c r="F318" i="3"/>
  <c r="G302" i="3"/>
  <c r="F302" i="3"/>
  <c r="G286" i="3"/>
  <c r="F286" i="3"/>
  <c r="G270" i="3"/>
  <c r="F270" i="3"/>
  <c r="G254" i="3"/>
  <c r="F254" i="3"/>
  <c r="G238" i="3"/>
  <c r="F238" i="3"/>
  <c r="G222" i="3"/>
  <c r="F222" i="3"/>
  <c r="G206" i="3"/>
  <c r="F206" i="3"/>
  <c r="G190" i="3"/>
  <c r="F190" i="3"/>
  <c r="G174" i="3"/>
  <c r="F174" i="3"/>
  <c r="G158" i="3"/>
  <c r="F158" i="3"/>
  <c r="G142" i="3"/>
  <c r="F142" i="3"/>
  <c r="G126" i="3"/>
  <c r="G110" i="3"/>
  <c r="G94" i="3"/>
  <c r="F94" i="3"/>
  <c r="G78" i="3"/>
  <c r="F78" i="3"/>
  <c r="G62" i="3"/>
  <c r="F62" i="3"/>
  <c r="G46" i="3"/>
  <c r="F46" i="3"/>
  <c r="G30" i="3"/>
  <c r="F30" i="3"/>
  <c r="F176" i="3"/>
  <c r="F993" i="3"/>
  <c r="F753" i="3"/>
  <c r="G897" i="3"/>
  <c r="F897" i="3"/>
  <c r="G529" i="3"/>
  <c r="F529" i="3"/>
  <c r="G865" i="3"/>
  <c r="F865" i="3"/>
  <c r="G593" i="3"/>
  <c r="F593" i="3"/>
  <c r="G209" i="3"/>
  <c r="F209" i="3"/>
  <c r="G945" i="3"/>
  <c r="F945" i="3"/>
  <c r="G673" i="3"/>
  <c r="F673" i="3"/>
  <c r="G353" i="3"/>
  <c r="F353" i="3"/>
  <c r="G641" i="3"/>
  <c r="F641" i="3"/>
  <c r="G81" i="3"/>
  <c r="F81" i="3"/>
  <c r="G928" i="3"/>
  <c r="F928" i="3"/>
  <c r="G880" i="3"/>
  <c r="F880" i="3"/>
  <c r="F992" i="3"/>
  <c r="F433" i="3"/>
  <c r="F9" i="3"/>
  <c r="G9" i="3"/>
  <c r="F1001" i="3"/>
  <c r="F953" i="3"/>
  <c r="G953" i="3"/>
  <c r="G825" i="3"/>
  <c r="F825" i="3"/>
  <c r="F585" i="3"/>
  <c r="G585" i="3"/>
  <c r="G859" i="3"/>
  <c r="G607" i="3"/>
  <c r="F512" i="3"/>
  <c r="F398" i="3"/>
  <c r="F126" i="3"/>
  <c r="G929" i="3"/>
  <c r="F929" i="3"/>
  <c r="F561" i="3"/>
  <c r="G561" i="3"/>
  <c r="F944" i="3"/>
  <c r="G944" i="3"/>
  <c r="F491" i="3"/>
  <c r="G491" i="3"/>
  <c r="F283" i="3"/>
  <c r="G283" i="3"/>
  <c r="F985" i="3"/>
  <c r="G985" i="3"/>
  <c r="F889" i="3"/>
  <c r="G889" i="3"/>
  <c r="G841" i="3"/>
  <c r="F718" i="3"/>
  <c r="F800" i="3"/>
  <c r="G977" i="3"/>
  <c r="F977" i="3"/>
  <c r="G961" i="3"/>
  <c r="F961" i="3"/>
  <c r="G913" i="3"/>
  <c r="F913" i="3"/>
  <c r="G881" i="3"/>
  <c r="F881" i="3"/>
  <c r="G849" i="3"/>
  <c r="F849" i="3"/>
  <c r="G833" i="3"/>
  <c r="F833" i="3"/>
  <c r="G817" i="3"/>
  <c r="F817" i="3"/>
  <c r="G801" i="3"/>
  <c r="F801" i="3"/>
  <c r="G785" i="3"/>
  <c r="F785" i="3"/>
  <c r="G769" i="3"/>
  <c r="F769" i="3"/>
  <c r="G737" i="3"/>
  <c r="F737" i="3"/>
  <c r="G721" i="3"/>
  <c r="F721" i="3"/>
  <c r="F705" i="3"/>
  <c r="G705" i="3"/>
  <c r="G689" i="3"/>
  <c r="F689" i="3"/>
  <c r="F657" i="3"/>
  <c r="G657" i="3"/>
  <c r="G625" i="3"/>
  <c r="F625" i="3"/>
  <c r="G577" i="3"/>
  <c r="F577" i="3"/>
  <c r="F545" i="3"/>
  <c r="G545" i="3"/>
  <c r="G497" i="3"/>
  <c r="F497" i="3"/>
  <c r="G481" i="3"/>
  <c r="F481" i="3"/>
  <c r="G465" i="3"/>
  <c r="F465" i="3"/>
  <c r="G449" i="3"/>
  <c r="F449" i="3"/>
  <c r="G417" i="3"/>
  <c r="F417" i="3"/>
  <c r="G401" i="3"/>
  <c r="F401" i="3"/>
  <c r="G369" i="3"/>
  <c r="F369" i="3"/>
  <c r="G337" i="3"/>
  <c r="F337" i="3"/>
  <c r="G321" i="3"/>
  <c r="F321" i="3"/>
  <c r="G305" i="3"/>
  <c r="F305" i="3"/>
  <c r="G289" i="3"/>
  <c r="F289" i="3"/>
  <c r="G273" i="3"/>
  <c r="F273" i="3"/>
  <c r="G257" i="3"/>
  <c r="F257" i="3"/>
  <c r="G241" i="3"/>
  <c r="F241" i="3"/>
  <c r="G225" i="3"/>
  <c r="F225" i="3"/>
  <c r="G193" i="3"/>
  <c r="F193" i="3"/>
  <c r="G177" i="3"/>
  <c r="F177" i="3"/>
  <c r="G161" i="3"/>
  <c r="F161" i="3"/>
  <c r="G145" i="3"/>
  <c r="F145" i="3"/>
  <c r="G129" i="3"/>
  <c r="F129" i="3"/>
  <c r="F113" i="3"/>
  <c r="G113" i="3"/>
  <c r="G97" i="3"/>
  <c r="F97" i="3"/>
  <c r="F65" i="3"/>
  <c r="G65" i="3"/>
  <c r="G49" i="3"/>
  <c r="F49" i="3"/>
  <c r="G33" i="3"/>
  <c r="F33" i="3"/>
  <c r="G17" i="3"/>
  <c r="F17" i="3"/>
  <c r="F10" i="3"/>
  <c r="G10" i="3"/>
  <c r="F459" i="3"/>
  <c r="G459" i="3"/>
  <c r="G522" i="3"/>
  <c r="F522" i="3"/>
  <c r="G282" i="3"/>
  <c r="F282" i="3"/>
  <c r="G255" i="3"/>
  <c r="F719" i="3"/>
  <c r="F8" i="3"/>
  <c r="F969" i="3"/>
  <c r="G793" i="3"/>
  <c r="F793" i="3"/>
  <c r="G153" i="3"/>
  <c r="F513" i="3"/>
  <c r="F943" i="3"/>
  <c r="F863" i="3"/>
  <c r="G12" i="3"/>
  <c r="F12" i="3"/>
  <c r="G1005" i="3"/>
  <c r="F1005" i="3"/>
  <c r="G909" i="3"/>
  <c r="F909" i="3"/>
  <c r="G893" i="3"/>
  <c r="F893" i="3"/>
  <c r="G877" i="3"/>
  <c r="F877" i="3"/>
  <c r="G845" i="3"/>
  <c r="F845" i="3"/>
  <c r="G813" i="3"/>
  <c r="F813" i="3"/>
  <c r="G797" i="3"/>
  <c r="F797" i="3"/>
  <c r="G781" i="3"/>
  <c r="F781" i="3"/>
  <c r="G749" i="3"/>
  <c r="F749" i="3"/>
  <c r="G717" i="3"/>
  <c r="F717" i="3"/>
  <c r="G637" i="3"/>
  <c r="F637" i="3"/>
  <c r="G605" i="3"/>
  <c r="F605" i="3"/>
  <c r="G589" i="3"/>
  <c r="F589" i="3"/>
  <c r="G573" i="3"/>
  <c r="F573" i="3"/>
  <c r="G541" i="3"/>
  <c r="F541" i="3"/>
  <c r="G509" i="3"/>
  <c r="F509" i="3"/>
  <c r="G493" i="3"/>
  <c r="F493" i="3"/>
  <c r="G477" i="3"/>
  <c r="F477" i="3"/>
  <c r="G461" i="3"/>
  <c r="F461" i="3"/>
  <c r="G381" i="3"/>
  <c r="F381" i="3"/>
  <c r="G333" i="3"/>
  <c r="F333" i="3"/>
  <c r="G301" i="3"/>
  <c r="F301" i="3"/>
  <c r="G285" i="3"/>
  <c r="F285" i="3"/>
  <c r="G269" i="3"/>
  <c r="F269" i="3"/>
  <c r="G237" i="3"/>
  <c r="F237" i="3"/>
  <c r="G205" i="3"/>
  <c r="F205" i="3"/>
  <c r="G173" i="3"/>
  <c r="F173" i="3"/>
  <c r="G157" i="3"/>
  <c r="F157" i="3"/>
  <c r="G141" i="3"/>
  <c r="F141" i="3"/>
  <c r="G93" i="3"/>
  <c r="F93" i="3"/>
  <c r="G77" i="3"/>
  <c r="F77" i="3"/>
  <c r="G61" i="3"/>
  <c r="F61" i="3"/>
  <c r="G29" i="3"/>
  <c r="F29" i="3"/>
  <c r="G1003" i="3"/>
  <c r="G987" i="3"/>
  <c r="G971" i="3"/>
  <c r="G955" i="3"/>
  <c r="G939" i="3"/>
  <c r="G923" i="3"/>
  <c r="G907" i="3"/>
  <c r="G891" i="3"/>
  <c r="G875" i="3"/>
  <c r="G843" i="3"/>
  <c r="G827" i="3"/>
  <c r="G811" i="3"/>
  <c r="G795" i="3"/>
  <c r="G779" i="3"/>
  <c r="G763" i="3"/>
  <c r="G747" i="3"/>
  <c r="G731" i="3"/>
  <c r="G715" i="3"/>
  <c r="G699" i="3"/>
  <c r="G683" i="3"/>
  <c r="G667" i="3"/>
  <c r="G651" i="3"/>
  <c r="G635" i="3"/>
  <c r="G619" i="3"/>
  <c r="G603" i="3"/>
  <c r="G587" i="3"/>
  <c r="G571" i="3"/>
  <c r="G555" i="3"/>
  <c r="G539" i="3"/>
  <c r="G523" i="3"/>
  <c r="G507" i="3"/>
  <c r="G475" i="3"/>
  <c r="G443" i="3"/>
  <c r="G427" i="3"/>
  <c r="G411" i="3"/>
  <c r="G395" i="3"/>
  <c r="G379" i="3"/>
  <c r="G363" i="3"/>
  <c r="G347" i="3"/>
  <c r="G331" i="3"/>
  <c r="G315" i="3"/>
  <c r="G299" i="3"/>
  <c r="G267" i="3"/>
  <c r="G251" i="3"/>
  <c r="G235" i="3"/>
  <c r="G219" i="3"/>
  <c r="G203" i="3"/>
  <c r="G187" i="3"/>
  <c r="G171" i="3"/>
  <c r="G155" i="3"/>
  <c r="G139" i="3"/>
  <c r="G123" i="3"/>
  <c r="G107" i="3"/>
  <c r="G91" i="3"/>
  <c r="G75" i="3"/>
  <c r="G59" i="3"/>
  <c r="G43" i="3"/>
  <c r="G27" i="3"/>
  <c r="F701" i="3"/>
  <c r="G11" i="3"/>
  <c r="F11" i="3"/>
  <c r="F1004" i="3"/>
  <c r="F988" i="3"/>
  <c r="F972" i="3"/>
  <c r="G956" i="3"/>
  <c r="F956" i="3"/>
  <c r="G940" i="3"/>
  <c r="F940" i="3"/>
  <c r="G924" i="3"/>
  <c r="F924" i="3"/>
  <c r="F908" i="3"/>
  <c r="F892" i="3"/>
  <c r="G876" i="3"/>
  <c r="F876" i="3"/>
  <c r="G860" i="3"/>
  <c r="F860" i="3"/>
  <c r="F844" i="3"/>
  <c r="F828" i="3"/>
  <c r="G812" i="3"/>
  <c r="F812" i="3"/>
  <c r="F796" i="3"/>
  <c r="G780" i="3"/>
  <c r="F780" i="3"/>
  <c r="G764" i="3"/>
  <c r="F764" i="3"/>
  <c r="F748" i="3"/>
  <c r="G732" i="3"/>
  <c r="F732" i="3"/>
  <c r="F716" i="3"/>
  <c r="F700" i="3"/>
  <c r="F684" i="3"/>
  <c r="F668" i="3"/>
  <c r="F652" i="3"/>
  <c r="G636" i="3"/>
  <c r="F636" i="3"/>
  <c r="F620" i="3"/>
  <c r="F604" i="3"/>
  <c r="F588" i="3"/>
  <c r="G572" i="3"/>
  <c r="F572" i="3"/>
  <c r="F556" i="3"/>
  <c r="G540" i="3"/>
  <c r="F540" i="3"/>
  <c r="F524" i="3"/>
  <c r="G508" i="3"/>
  <c r="F508" i="3"/>
  <c r="F492" i="3"/>
  <c r="F476" i="3"/>
  <c r="F460" i="3"/>
  <c r="G460" i="3"/>
  <c r="F444" i="3"/>
  <c r="F428" i="3"/>
  <c r="G412" i="3"/>
  <c r="F412" i="3"/>
  <c r="G396" i="3"/>
  <c r="F396" i="3"/>
  <c r="F380" i="3"/>
  <c r="F364" i="3"/>
  <c r="F348" i="3"/>
  <c r="F332" i="3"/>
  <c r="G316" i="3"/>
  <c r="F316" i="3"/>
  <c r="G300" i="3"/>
  <c r="F300" i="3"/>
  <c r="F284" i="3"/>
  <c r="G268" i="3"/>
  <c r="F268" i="3"/>
  <c r="F252" i="3"/>
  <c r="G236" i="3"/>
  <c r="F236" i="3"/>
  <c r="F220" i="3"/>
  <c r="F204" i="3"/>
  <c r="G188" i="3"/>
  <c r="F188" i="3"/>
  <c r="G172" i="3"/>
  <c r="F172" i="3"/>
  <c r="G156" i="3"/>
  <c r="F156" i="3"/>
  <c r="F140" i="3"/>
  <c r="G124" i="3"/>
  <c r="F124" i="3"/>
  <c r="F108" i="3"/>
  <c r="G92" i="3"/>
  <c r="F92" i="3"/>
  <c r="F76" i="3"/>
  <c r="G60" i="3"/>
  <c r="F60" i="3"/>
  <c r="F44" i="3"/>
  <c r="F28" i="3"/>
  <c r="G1002" i="3"/>
  <c r="G986" i="3"/>
  <c r="G970" i="3"/>
  <c r="G954" i="3"/>
  <c r="G938" i="3"/>
  <c r="G922" i="3"/>
  <c r="G906" i="3"/>
  <c r="G890" i="3"/>
  <c r="G874" i="3"/>
  <c r="G842" i="3"/>
  <c r="G826" i="3"/>
  <c r="G794" i="3"/>
  <c r="G778" i="3"/>
  <c r="G762" i="3"/>
  <c r="G746" i="3"/>
  <c r="G730" i="3"/>
  <c r="G714" i="3"/>
  <c r="G698" i="3"/>
  <c r="G682" i="3"/>
  <c r="G666" i="3"/>
  <c r="G708" i="3"/>
  <c r="F898" i="3"/>
  <c r="F851" i="3"/>
  <c r="F754" i="3"/>
  <c r="F653" i="3"/>
  <c r="F445" i="3"/>
  <c r="G729" i="3"/>
  <c r="F729" i="3"/>
  <c r="F393" i="3"/>
  <c r="G393" i="3"/>
  <c r="G937" i="3"/>
  <c r="F937" i="3"/>
  <c r="F921" i="3"/>
  <c r="G921" i="3"/>
  <c r="G905" i="3"/>
  <c r="F905" i="3"/>
  <c r="F873" i="3"/>
  <c r="F857" i="3"/>
  <c r="G857" i="3"/>
  <c r="F841" i="3"/>
  <c r="F809" i="3"/>
  <c r="F777" i="3"/>
  <c r="G777" i="3"/>
  <c r="F761" i="3"/>
  <c r="G761" i="3"/>
  <c r="F745" i="3"/>
  <c r="G745" i="3"/>
  <c r="F713" i="3"/>
  <c r="F697" i="3"/>
  <c r="G697" i="3"/>
  <c r="F681" i="3"/>
  <c r="G681" i="3"/>
  <c r="F665" i="3"/>
  <c r="G665" i="3"/>
  <c r="F649" i="3"/>
  <c r="F633" i="3"/>
  <c r="F617" i="3"/>
  <c r="G617" i="3"/>
  <c r="F601" i="3"/>
  <c r="G601" i="3"/>
  <c r="F569" i="3"/>
  <c r="G569" i="3"/>
  <c r="F553" i="3"/>
  <c r="G553" i="3"/>
  <c r="G537" i="3"/>
  <c r="F537" i="3"/>
  <c r="G521" i="3"/>
  <c r="F521" i="3"/>
  <c r="G505" i="3"/>
  <c r="F505" i="3"/>
  <c r="F489" i="3"/>
  <c r="G489" i="3"/>
  <c r="G473" i="3"/>
  <c r="F473" i="3"/>
  <c r="F457" i="3"/>
  <c r="G457" i="3"/>
  <c r="G425" i="3"/>
  <c r="F425" i="3"/>
  <c r="F377" i="3"/>
  <c r="F361" i="3"/>
  <c r="G361" i="3"/>
  <c r="F345" i="3"/>
  <c r="G345" i="3"/>
  <c r="F329" i="3"/>
  <c r="G329" i="3"/>
  <c r="G313" i="3"/>
  <c r="F313" i="3"/>
  <c r="F297" i="3"/>
  <c r="G281" i="3"/>
  <c r="F281" i="3"/>
  <c r="G265" i="3"/>
  <c r="F265" i="3"/>
  <c r="F249" i="3"/>
  <c r="F233" i="3"/>
  <c r="G233" i="3"/>
  <c r="G201" i="3"/>
  <c r="F201" i="3"/>
  <c r="G185" i="3"/>
  <c r="F185" i="3"/>
  <c r="F169" i="3"/>
  <c r="F137" i="3"/>
  <c r="G121" i="3"/>
  <c r="F121" i="3"/>
  <c r="F89" i="3"/>
  <c r="F73" i="3"/>
  <c r="G57" i="3"/>
  <c r="F57" i="3"/>
  <c r="F41" i="3"/>
  <c r="G41" i="3"/>
  <c r="F25" i="3"/>
  <c r="F1000" i="3"/>
  <c r="G137" i="3"/>
  <c r="F989" i="3"/>
  <c r="F429" i="3"/>
  <c r="G838" i="3"/>
  <c r="F838" i="3"/>
  <c r="G630" i="3"/>
  <c r="F630" i="3"/>
  <c r="G918" i="3"/>
  <c r="G297" i="3"/>
  <c r="F365" i="3"/>
  <c r="F317" i="3"/>
  <c r="G644" i="3"/>
  <c r="G284" i="3"/>
  <c r="F829" i="3"/>
  <c r="F733" i="3"/>
  <c r="F627" i="3"/>
  <c r="F82" i="3"/>
  <c r="F217" i="3"/>
  <c r="G217" i="3"/>
  <c r="G7" i="3"/>
  <c r="F7" i="3"/>
  <c r="F968" i="3"/>
  <c r="G968" i="3"/>
  <c r="G712" i="3"/>
  <c r="G806" i="3"/>
  <c r="F806" i="3"/>
  <c r="G964" i="3"/>
  <c r="F964" i="3"/>
  <c r="F916" i="3"/>
  <c r="G916" i="3"/>
  <c r="G820" i="3"/>
  <c r="F820" i="3"/>
  <c r="F772" i="3"/>
  <c r="G772" i="3"/>
  <c r="F516" i="3"/>
  <c r="G516" i="3"/>
  <c r="G52" i="3"/>
  <c r="F52" i="3"/>
  <c r="G915" i="3"/>
  <c r="G633" i="3"/>
  <c r="G89" i="3"/>
  <c r="F925" i="3"/>
  <c r="F870" i="3"/>
  <c r="F722" i="3"/>
  <c r="F685" i="3"/>
  <c r="F626" i="3"/>
  <c r="F525" i="3"/>
  <c r="F146" i="3"/>
  <c r="F409" i="3"/>
  <c r="G409" i="3"/>
  <c r="F105" i="3"/>
  <c r="G105" i="3"/>
  <c r="G377" i="3"/>
  <c r="G984" i="3"/>
  <c r="F984" i="3"/>
  <c r="G979" i="3"/>
  <c r="F979" i="3"/>
  <c r="G947" i="3"/>
  <c r="F947" i="3"/>
  <c r="G819" i="3"/>
  <c r="F819" i="3"/>
  <c r="F771" i="3"/>
  <c r="G771" i="3"/>
  <c r="G739" i="3"/>
  <c r="F739" i="3"/>
  <c r="G691" i="3"/>
  <c r="F691" i="3"/>
  <c r="G643" i="3"/>
  <c r="F643" i="3"/>
  <c r="F563" i="3"/>
  <c r="G563" i="3"/>
  <c r="F467" i="3"/>
  <c r="G467" i="3"/>
  <c r="F419" i="3"/>
  <c r="G419" i="3"/>
  <c r="G371" i="3"/>
  <c r="F371" i="3"/>
  <c r="G339" i="3"/>
  <c r="F339" i="3"/>
  <c r="G307" i="3"/>
  <c r="F307" i="3"/>
  <c r="F259" i="3"/>
  <c r="G259" i="3"/>
  <c r="G211" i="3"/>
  <c r="F211" i="3"/>
  <c r="F131" i="3"/>
  <c r="G131" i="3"/>
  <c r="F51" i="3"/>
  <c r="G51" i="3"/>
  <c r="F35" i="3"/>
  <c r="G35" i="3"/>
  <c r="G466" i="3"/>
  <c r="F966" i="3"/>
  <c r="F822" i="3"/>
  <c r="F253" i="3"/>
  <c r="F195" i="3"/>
  <c r="F441" i="3"/>
  <c r="G441" i="3"/>
  <c r="F153" i="3"/>
  <c r="G649" i="3"/>
  <c r="G978" i="3"/>
  <c r="F978" i="3"/>
  <c r="G946" i="3"/>
  <c r="F946" i="3"/>
  <c r="G914" i="3"/>
  <c r="F914" i="3"/>
  <c r="G866" i="3"/>
  <c r="F866" i="3"/>
  <c r="G818" i="3"/>
  <c r="F818" i="3"/>
  <c r="G770" i="3"/>
  <c r="F770" i="3"/>
  <c r="G738" i="3"/>
  <c r="F738" i="3"/>
  <c r="G674" i="3"/>
  <c r="F674" i="3"/>
  <c r="G658" i="3"/>
  <c r="F658" i="3"/>
  <c r="G642" i="3"/>
  <c r="F642" i="3"/>
  <c r="G578" i="3"/>
  <c r="F578" i="3"/>
  <c r="F562" i="3"/>
  <c r="G562" i="3"/>
  <c r="G546" i="3"/>
  <c r="F546" i="3"/>
  <c r="G514" i="3"/>
  <c r="F514" i="3"/>
  <c r="G482" i="3"/>
  <c r="F482" i="3"/>
  <c r="G434" i="3"/>
  <c r="F434" i="3"/>
  <c r="G402" i="3"/>
  <c r="F402" i="3"/>
  <c r="G370" i="3"/>
  <c r="F370" i="3"/>
  <c r="G354" i="3"/>
  <c r="F354" i="3"/>
  <c r="G338" i="3"/>
  <c r="F338" i="3"/>
  <c r="G306" i="3"/>
  <c r="F306" i="3"/>
  <c r="G274" i="3"/>
  <c r="F274" i="3"/>
  <c r="G258" i="3"/>
  <c r="F258" i="3"/>
  <c r="G226" i="3"/>
  <c r="F226" i="3"/>
  <c r="G162" i="3"/>
  <c r="F162" i="3"/>
  <c r="G130" i="3"/>
  <c r="F130" i="3"/>
  <c r="G114" i="3"/>
  <c r="F114" i="3"/>
  <c r="G98" i="3"/>
  <c r="F98" i="3"/>
  <c r="G66" i="3"/>
  <c r="F66" i="3"/>
  <c r="G50" i="3"/>
  <c r="F50" i="3"/>
  <c r="G34" i="3"/>
  <c r="F34" i="3"/>
  <c r="G18" i="3"/>
  <c r="F18" i="3"/>
  <c r="G976" i="3"/>
  <c r="G960" i="3"/>
  <c r="G896" i="3"/>
  <c r="G742" i="3"/>
  <c r="G612" i="3"/>
  <c r="G73" i="3"/>
  <c r="F669" i="3"/>
  <c r="F566" i="3"/>
  <c r="F413" i="3"/>
  <c r="F194" i="3"/>
  <c r="F191" i="3"/>
  <c r="G175" i="3"/>
  <c r="F143" i="3"/>
  <c r="G127" i="3"/>
  <c r="G79" i="3"/>
  <c r="F79" i="3"/>
  <c r="G63" i="3"/>
  <c r="F63" i="3"/>
  <c r="F182" i="3"/>
  <c r="F207" i="3"/>
  <c r="F175" i="3"/>
  <c r="G952" i="3"/>
  <c r="F952" i="3"/>
  <c r="G936" i="3"/>
  <c r="F936" i="3"/>
  <c r="G920" i="3"/>
  <c r="F920" i="3"/>
  <c r="F904" i="3"/>
  <c r="G888" i="3"/>
  <c r="F888" i="3"/>
  <c r="G872" i="3"/>
  <c r="F872" i="3"/>
  <c r="F856" i="3"/>
  <c r="G856" i="3"/>
  <c r="G840" i="3"/>
  <c r="F840" i="3"/>
  <c r="F824" i="3"/>
  <c r="G808" i="3"/>
  <c r="F808" i="3"/>
  <c r="G792" i="3"/>
  <c r="F792" i="3"/>
  <c r="G776" i="3"/>
  <c r="F776" i="3"/>
  <c r="G760" i="3"/>
  <c r="F760" i="3"/>
  <c r="F744" i="3"/>
  <c r="G728" i="3"/>
  <c r="F728" i="3"/>
  <c r="F712" i="3"/>
  <c r="G696" i="3"/>
  <c r="F696" i="3"/>
  <c r="G680" i="3"/>
  <c r="F680" i="3"/>
  <c r="G664" i="3"/>
  <c r="F664" i="3"/>
  <c r="F648" i="3"/>
  <c r="G632" i="3"/>
  <c r="F632" i="3"/>
  <c r="F616" i="3"/>
  <c r="G600" i="3"/>
  <c r="F600" i="3"/>
  <c r="G584" i="3"/>
  <c r="F584" i="3"/>
  <c r="G568" i="3"/>
  <c r="F568" i="3"/>
  <c r="G552" i="3"/>
  <c r="F552" i="3"/>
  <c r="G536" i="3"/>
  <c r="F536" i="3"/>
  <c r="G520" i="3"/>
  <c r="F520" i="3"/>
  <c r="G504" i="3"/>
  <c r="F504" i="3"/>
  <c r="F488" i="3"/>
  <c r="G488" i="3"/>
  <c r="G472" i="3"/>
  <c r="F472" i="3"/>
  <c r="F456" i="3"/>
  <c r="G440" i="3"/>
  <c r="F440" i="3"/>
  <c r="G424" i="3"/>
  <c r="F424" i="3"/>
  <c r="G408" i="3"/>
  <c r="F408" i="3"/>
  <c r="G392" i="3"/>
  <c r="F392" i="3"/>
  <c r="G376" i="3"/>
  <c r="F376" i="3"/>
  <c r="G360" i="3"/>
  <c r="F360" i="3"/>
  <c r="G344" i="3"/>
  <c r="F344" i="3"/>
  <c r="G328" i="3"/>
  <c r="F328" i="3"/>
  <c r="G312" i="3"/>
  <c r="F312" i="3"/>
  <c r="G296" i="3"/>
  <c r="F296" i="3"/>
  <c r="G280" i="3"/>
  <c r="F280" i="3"/>
  <c r="G264" i="3"/>
  <c r="F264" i="3"/>
  <c r="G248" i="3"/>
  <c r="F248" i="3"/>
  <c r="G232" i="3"/>
  <c r="F232" i="3"/>
  <c r="G216" i="3"/>
  <c r="F216" i="3"/>
  <c r="G200" i="3"/>
  <c r="F200" i="3"/>
  <c r="G184" i="3"/>
  <c r="F184" i="3"/>
  <c r="G168" i="3"/>
  <c r="F168" i="3"/>
  <c r="G152" i="3"/>
  <c r="F152" i="3"/>
  <c r="G136" i="3"/>
  <c r="F136" i="3"/>
  <c r="G120" i="3"/>
  <c r="F120" i="3"/>
  <c r="G104" i="3"/>
  <c r="F104" i="3"/>
  <c r="G88" i="3"/>
  <c r="F88" i="3"/>
  <c r="G72" i="3"/>
  <c r="F72" i="3"/>
  <c r="G56" i="3"/>
  <c r="F56" i="3"/>
  <c r="G40" i="3"/>
  <c r="F40" i="3"/>
  <c r="G24" i="3"/>
  <c r="F24" i="3"/>
  <c r="G902" i="3"/>
  <c r="G582" i="3"/>
  <c r="G342" i="3"/>
  <c r="G230" i="3"/>
  <c r="G198" i="3"/>
  <c r="F438" i="3"/>
  <c r="G999" i="3"/>
  <c r="F999" i="3"/>
  <c r="G983" i="3"/>
  <c r="F983" i="3"/>
  <c r="G967" i="3"/>
  <c r="F967" i="3"/>
  <c r="G951" i="3"/>
  <c r="F951" i="3"/>
  <c r="G935" i="3"/>
  <c r="F935" i="3"/>
  <c r="G919" i="3"/>
  <c r="F919" i="3"/>
  <c r="G903" i="3"/>
  <c r="F903" i="3"/>
  <c r="G887" i="3"/>
  <c r="F887" i="3"/>
  <c r="G871" i="3"/>
  <c r="F871" i="3"/>
  <c r="G855" i="3"/>
  <c r="F855" i="3"/>
  <c r="G839" i="3"/>
  <c r="F839" i="3"/>
  <c r="G823" i="3"/>
  <c r="F823" i="3"/>
  <c r="G807" i="3"/>
  <c r="F807" i="3"/>
  <c r="G791" i="3"/>
  <c r="F791" i="3"/>
  <c r="G775" i="3"/>
  <c r="F775" i="3"/>
  <c r="G759" i="3"/>
  <c r="F759" i="3"/>
  <c r="G743" i="3"/>
  <c r="F743" i="3"/>
  <c r="G727" i="3"/>
  <c r="F727" i="3"/>
  <c r="G711" i="3"/>
  <c r="F711" i="3"/>
  <c r="G695" i="3"/>
  <c r="F695" i="3"/>
  <c r="G679" i="3"/>
  <c r="F679" i="3"/>
  <c r="G663" i="3"/>
  <c r="F663" i="3"/>
  <c r="G647" i="3"/>
  <c r="F647" i="3"/>
  <c r="G631" i="3"/>
  <c r="F631" i="3"/>
  <c r="G615" i="3"/>
  <c r="F615" i="3"/>
  <c r="G599" i="3"/>
  <c r="F599" i="3"/>
  <c r="G583" i="3"/>
  <c r="F583" i="3"/>
  <c r="G567" i="3"/>
  <c r="F567" i="3"/>
  <c r="G551" i="3"/>
  <c r="F551" i="3"/>
  <c r="G535" i="3"/>
  <c r="F535" i="3"/>
  <c r="G519" i="3"/>
  <c r="F519" i="3"/>
  <c r="G503" i="3"/>
  <c r="F503" i="3"/>
  <c r="G487" i="3"/>
  <c r="F487" i="3"/>
  <c r="G471" i="3"/>
  <c r="F471" i="3"/>
  <c r="G455" i="3"/>
  <c r="F455" i="3"/>
  <c r="G439" i="3"/>
  <c r="F439" i="3"/>
  <c r="G423" i="3"/>
  <c r="F423" i="3"/>
  <c r="G407" i="3"/>
  <c r="F407" i="3"/>
  <c r="G391" i="3"/>
  <c r="F391" i="3"/>
  <c r="G375" i="3"/>
  <c r="F375" i="3"/>
  <c r="G359" i="3"/>
  <c r="F359" i="3"/>
  <c r="G343" i="3"/>
  <c r="F343" i="3"/>
  <c r="G327" i="3"/>
  <c r="F327" i="3"/>
  <c r="G311" i="3"/>
  <c r="F311" i="3"/>
  <c r="G295" i="3"/>
  <c r="F295" i="3"/>
  <c r="G279" i="3"/>
  <c r="F279" i="3"/>
  <c r="G263" i="3"/>
  <c r="F263" i="3"/>
  <c r="G247" i="3"/>
  <c r="F247" i="3"/>
  <c r="G231" i="3"/>
  <c r="F231" i="3"/>
  <c r="G215" i="3"/>
  <c r="F215" i="3"/>
  <c r="G199" i="3"/>
  <c r="F199" i="3"/>
  <c r="G183" i="3"/>
  <c r="F183" i="3"/>
  <c r="G167" i="3"/>
  <c r="F167" i="3"/>
  <c r="G151" i="3"/>
  <c r="F151" i="3"/>
  <c r="G135" i="3"/>
  <c r="F135" i="3"/>
  <c r="G119" i="3"/>
  <c r="F119" i="3"/>
  <c r="G103" i="3"/>
  <c r="F103" i="3"/>
  <c r="G87" i="3"/>
  <c r="F87" i="3"/>
  <c r="G71" i="3"/>
  <c r="F71" i="3"/>
  <c r="G55" i="3"/>
  <c r="F55" i="3"/>
  <c r="G39" i="3"/>
  <c r="F39" i="3"/>
  <c r="G23" i="3"/>
  <c r="F23" i="3"/>
  <c r="G981" i="3"/>
  <c r="G901" i="3"/>
  <c r="G885" i="3"/>
  <c r="G869" i="3"/>
  <c r="G837" i="3"/>
  <c r="G805" i="3"/>
  <c r="G789" i="3"/>
  <c r="G757" i="3"/>
  <c r="G725" i="3"/>
  <c r="G693" i="3"/>
  <c r="G629" i="3"/>
  <c r="G581" i="3"/>
  <c r="G565" i="3"/>
  <c r="G549" i="3"/>
  <c r="G501" i="3"/>
  <c r="G437" i="3"/>
  <c r="G421" i="3"/>
  <c r="G405" i="3"/>
  <c r="G373" i="3"/>
  <c r="G341" i="3"/>
  <c r="G277" i="3"/>
  <c r="G229" i="3"/>
  <c r="G197" i="3"/>
  <c r="G181" i="3"/>
  <c r="G149" i="3"/>
  <c r="G133" i="3"/>
  <c r="G422" i="3"/>
  <c r="F422" i="3"/>
  <c r="G374" i="3"/>
  <c r="F374" i="3"/>
  <c r="G86" i="3"/>
  <c r="F86" i="3"/>
  <c r="G948" i="3"/>
  <c r="G932" i="3"/>
  <c r="G900" i="3"/>
  <c r="G884" i="3"/>
  <c r="G836" i="3"/>
  <c r="G756" i="3"/>
  <c r="G692" i="3"/>
  <c r="G676" i="3"/>
  <c r="G660" i="3"/>
  <c r="G628" i="3"/>
  <c r="G580" i="3"/>
  <c r="G564" i="3"/>
  <c r="G548" i="3"/>
  <c r="G532" i="3"/>
  <c r="G500" i="3"/>
  <c r="G436" i="3"/>
  <c r="G420" i="3"/>
  <c r="G404" i="3"/>
  <c r="G372" i="3"/>
  <c r="G356" i="3"/>
  <c r="G340" i="3"/>
  <c r="G324" i="3"/>
  <c r="G308" i="3"/>
  <c r="G292" i="3"/>
  <c r="G260" i="3"/>
  <c r="G228" i="3"/>
  <c r="G212" i="3"/>
  <c r="G196" i="3"/>
  <c r="G164" i="3"/>
  <c r="G132" i="3"/>
  <c r="G116" i="3"/>
  <c r="G84" i="3"/>
  <c r="G68" i="3"/>
  <c r="G36" i="3"/>
  <c r="G933" i="3"/>
  <c r="F933" i="3"/>
  <c r="G931" i="3"/>
  <c r="G835" i="3"/>
  <c r="G755" i="3"/>
  <c r="F127" i="3"/>
  <c r="G650" i="3"/>
  <c r="G634" i="3"/>
  <c r="G618" i="3"/>
  <c r="G602" i="3"/>
  <c r="G586" i="3"/>
  <c r="G570" i="3"/>
  <c r="G538" i="3"/>
  <c r="G506" i="3"/>
  <c r="G474" i="3"/>
  <c r="G442" i="3"/>
  <c r="G426" i="3"/>
  <c r="G410" i="3"/>
  <c r="G394" i="3"/>
  <c r="G378" i="3"/>
  <c r="G362" i="3"/>
  <c r="G346" i="3"/>
  <c r="G330" i="3"/>
  <c r="G314" i="3"/>
  <c r="G298" i="3"/>
  <c r="G266" i="3"/>
  <c r="G250" i="3"/>
  <c r="G234" i="3"/>
  <c r="G218" i="3"/>
  <c r="G202" i="3"/>
  <c r="G186" i="3"/>
  <c r="G170" i="3"/>
  <c r="G154" i="3"/>
  <c r="G138" i="3"/>
  <c r="G122" i="3"/>
  <c r="G106" i="3"/>
  <c r="G659" i="3"/>
  <c r="G579" i="3"/>
  <c r="G515" i="3"/>
  <c r="G403" i="3"/>
  <c r="G99" i="3"/>
  <c r="G688" i="3"/>
  <c r="G528" i="3"/>
  <c r="G496" i="3"/>
  <c r="G432" i="3"/>
  <c r="G32" i="3"/>
  <c r="G90" i="3"/>
  <c r="G74" i="3"/>
  <c r="G58" i="3"/>
  <c r="G42" i="3"/>
  <c r="G26" i="3"/>
  <c r="G85" i="3"/>
  <c r="G1004" i="3"/>
  <c r="G988" i="3"/>
  <c r="G908" i="3"/>
  <c r="G892" i="3"/>
  <c r="G844" i="3"/>
  <c r="G796" i="3"/>
  <c r="G748" i="3"/>
  <c r="G716" i="3"/>
  <c r="G700" i="3"/>
  <c r="G668" i="3"/>
  <c r="G652" i="3"/>
  <c r="G620" i="3"/>
  <c r="G604" i="3"/>
  <c r="G588" i="3"/>
  <c r="G556" i="3"/>
  <c r="G524" i="3"/>
  <c r="G492" i="3"/>
  <c r="G476" i="3"/>
  <c r="G444" i="3"/>
  <c r="G428" i="3"/>
  <c r="G380" i="3"/>
  <c r="G364" i="3"/>
  <c r="G348" i="3"/>
  <c r="G332" i="3"/>
  <c r="G252" i="3"/>
  <c r="G220" i="3"/>
  <c r="G204" i="3"/>
  <c r="G140" i="3"/>
  <c r="G108" i="3"/>
  <c r="G76" i="3"/>
  <c r="G44" i="3"/>
  <c r="G28" i="3"/>
  <c r="G810" i="3"/>
  <c r="G554" i="3"/>
  <c r="G982" i="3"/>
  <c r="G950" i="3"/>
  <c r="G934" i="3"/>
  <c r="G886" i="3"/>
  <c r="G854" i="3"/>
  <c r="G790" i="3"/>
  <c r="G774" i="3"/>
  <c r="G758" i="3"/>
  <c r="G726" i="3"/>
  <c r="G678" i="3"/>
  <c r="G614" i="3"/>
  <c r="G598" i="3"/>
  <c r="G550" i="3"/>
  <c r="G534" i="3"/>
  <c r="G502" i="3"/>
  <c r="G486" i="3"/>
  <c r="G470" i="3"/>
  <c r="G406" i="3"/>
  <c r="G358" i="3"/>
  <c r="G326" i="3"/>
  <c r="G310" i="3"/>
  <c r="G294" i="3"/>
  <c r="G278" i="3"/>
  <c r="G262" i="3"/>
  <c r="G214" i="3"/>
  <c r="G166" i="3"/>
  <c r="G134" i="3"/>
  <c r="G118" i="3"/>
  <c r="G70" i="3"/>
  <c r="G54" i="3"/>
  <c r="G38" i="3"/>
  <c r="G949" i="3"/>
  <c r="G853" i="3"/>
  <c r="G773" i="3"/>
  <c r="G677" i="3"/>
  <c r="G597" i="3"/>
  <c r="G533" i="3"/>
  <c r="G357" i="3"/>
  <c r="G309" i="3"/>
  <c r="G261" i="3"/>
  <c r="G213" i="3"/>
  <c r="G69" i="3"/>
  <c r="G852" i="3"/>
  <c r="G15" i="3"/>
  <c r="G864" i="3"/>
  <c r="G768" i="3"/>
  <c r="G416" i="3"/>
  <c r="G304" i="3"/>
  <c r="G80" i="3"/>
  <c r="G16" i="3"/>
  <c r="F6" i="3"/>
  <c r="G912" i="3"/>
  <c r="G832" i="3"/>
  <c r="G816" i="3"/>
  <c r="G736" i="3"/>
  <c r="G704" i="3"/>
  <c r="G656" i="3"/>
  <c r="G640" i="3"/>
  <c r="G576" i="3"/>
  <c r="G560" i="3"/>
  <c r="G464" i="3"/>
  <c r="G448" i="3"/>
  <c r="G400" i="3"/>
  <c r="G384" i="3"/>
  <c r="G368" i="3"/>
  <c r="G336" i="3"/>
  <c r="G288" i="3"/>
  <c r="G240" i="3"/>
  <c r="G224" i="3"/>
  <c r="G192" i="3"/>
  <c r="G160" i="3"/>
  <c r="G144" i="3"/>
  <c r="G112" i="3"/>
  <c r="G96" i="3"/>
  <c r="G48" i="3"/>
  <c r="G14" i="3"/>
  <c r="G959" i="3"/>
  <c r="G911" i="3"/>
  <c r="G895" i="3"/>
  <c r="G815" i="3"/>
  <c r="G735" i="3"/>
  <c r="G639" i="3"/>
  <c r="G575" i="3"/>
  <c r="G559" i="3"/>
  <c r="G447" i="3"/>
  <c r="G383" i="3"/>
  <c r="G367" i="3"/>
  <c r="G335" i="3"/>
  <c r="G287" i="3"/>
  <c r="G239" i="3"/>
  <c r="G223" i="3"/>
  <c r="G191" i="3"/>
  <c r="G159" i="3"/>
  <c r="G143" i="3"/>
  <c r="G111" i="3"/>
  <c r="G95" i="3"/>
  <c r="G47" i="3"/>
  <c r="G997" i="3"/>
  <c r="G741" i="3"/>
  <c r="G613" i="3"/>
  <c r="G485" i="3"/>
  <c r="G469" i="3"/>
  <c r="G325" i="3"/>
  <c r="G293" i="3"/>
  <c r="G165" i="3"/>
  <c r="G117" i="3"/>
  <c r="G53" i="3"/>
  <c r="G37" i="3"/>
  <c r="G980" i="3"/>
  <c r="G868" i="3"/>
  <c r="G740" i="3"/>
  <c r="G724" i="3"/>
  <c r="G596" i="3"/>
  <c r="G484" i="3"/>
  <c r="G468" i="3"/>
  <c r="G452" i="3"/>
  <c r="G388" i="3"/>
  <c r="G276" i="3"/>
  <c r="G244" i="3"/>
  <c r="G180" i="3"/>
  <c r="G148" i="3"/>
  <c r="G20" i="3"/>
  <c r="G995" i="3"/>
  <c r="G963" i="3"/>
  <c r="G707" i="3"/>
  <c r="G595" i="3"/>
  <c r="G483" i="3"/>
  <c r="G451" i="3"/>
  <c r="G435" i="3"/>
  <c r="G387" i="3"/>
  <c r="G275" i="3"/>
  <c r="G243" i="3"/>
  <c r="G179" i="3"/>
  <c r="G147" i="3"/>
  <c r="G19" i="3"/>
  <c r="G8" i="3"/>
  <c r="G6" i="3"/>
  <c r="K14" i="2"/>
  <c r="E14" i="2"/>
  <c r="D15" i="2"/>
  <c r="F15" i="2" s="1"/>
  <c r="E16" i="2" s="1"/>
  <c r="E26" i="2" s="1"/>
  <c r="D20" i="2"/>
  <c r="D19" i="2"/>
  <c r="F19" i="2" s="1"/>
  <c r="E20" i="2" s="1"/>
  <c r="D18" i="2"/>
  <c r="F18" i="2" s="1"/>
  <c r="E19" i="2" s="1"/>
  <c r="D17" i="2"/>
  <c r="F17" i="2" s="1"/>
  <c r="E18" i="2" s="1"/>
  <c r="E30" i="2" s="1"/>
  <c r="D16" i="2"/>
  <c r="F16" i="2" s="1"/>
  <c r="E17" i="2" s="1"/>
  <c r="D14" i="2"/>
  <c r="F14" i="2" s="1"/>
  <c r="E15" i="2" s="1"/>
  <c r="E11" i="5" l="1"/>
  <c r="F11" i="5"/>
  <c r="E18" i="5"/>
  <c r="F18" i="5"/>
  <c r="E19" i="5"/>
  <c r="F19" i="5"/>
  <c r="E15" i="5"/>
  <c r="F15" i="5"/>
  <c r="E14" i="5"/>
  <c r="F14" i="5"/>
  <c r="E16" i="5"/>
  <c r="F16" i="5"/>
  <c r="E13" i="5"/>
  <c r="F13" i="5"/>
  <c r="E12" i="5"/>
  <c r="F12" i="5"/>
  <c r="E17" i="5"/>
  <c r="F17" i="5"/>
  <c r="G20" i="4"/>
  <c r="G17" i="4"/>
  <c r="G21" i="4"/>
  <c r="G16" i="4"/>
  <c r="G23" i="4"/>
  <c r="G18" i="4"/>
  <c r="G22" i="4"/>
  <c r="G24" i="4"/>
  <c r="G19" i="4"/>
  <c r="C18" i="4"/>
  <c r="D18" i="4" s="1"/>
  <c r="C19" i="4" s="1"/>
  <c r="D19" i="4" s="1"/>
  <c r="C20" i="4" s="1"/>
  <c r="D20" i="4" s="1"/>
  <c r="M9" i="3"/>
  <c r="M8" i="3"/>
  <c r="C41" i="2"/>
  <c r="C37" i="2"/>
  <c r="E29" i="2"/>
  <c r="E27" i="2"/>
  <c r="E28" i="2"/>
  <c r="K17" i="2"/>
  <c r="K16" i="2"/>
  <c r="K15" i="2"/>
  <c r="K18" i="2"/>
  <c r="D23" i="5" l="1"/>
  <c r="D22" i="5"/>
  <c r="G25" i="4"/>
  <c r="D29" i="4" s="1"/>
  <c r="B35" i="4" s="1"/>
  <c r="C21" i="4"/>
  <c r="D21" i="4" s="1"/>
  <c r="M10" i="3"/>
  <c r="M11" i="3" s="1"/>
  <c r="D37" i="2"/>
  <c r="C39" i="2"/>
  <c r="C38" i="2"/>
  <c r="C40" i="2"/>
  <c r="K26" i="2"/>
  <c r="E37" i="2" s="1"/>
  <c r="K30" i="2"/>
  <c r="E41" i="2" s="1"/>
  <c r="K28" i="2"/>
  <c r="E39" i="2" s="1"/>
  <c r="K29" i="2"/>
  <c r="E40" i="2" s="1"/>
  <c r="K27" i="2"/>
  <c r="E38" i="2" s="1"/>
  <c r="K25" i="2"/>
  <c r="E36" i="2" s="1"/>
  <c r="D24" i="5" l="1"/>
  <c r="B30" i="5" s="1"/>
  <c r="C22" i="4"/>
  <c r="D22" i="4" s="1"/>
  <c r="H36" i="2"/>
  <c r="I36" i="2"/>
  <c r="E42" i="2"/>
  <c r="D38" i="2"/>
  <c r="D39" i="2" s="1"/>
  <c r="C42" i="2"/>
  <c r="E60" i="2" s="1"/>
  <c r="C23" i="4" l="1"/>
  <c r="D23" i="4" s="1"/>
  <c r="F37" i="2"/>
  <c r="J37" i="2" s="1"/>
  <c r="D40" i="2"/>
  <c r="C24" i="4" l="1"/>
  <c r="D24" i="4" s="1"/>
  <c r="G37" i="2"/>
  <c r="H37" i="2"/>
  <c r="D41" i="2"/>
  <c r="D42" i="2" s="1"/>
  <c r="E25" i="4" l="1"/>
  <c r="F38" i="2"/>
  <c r="G38" i="2" s="1"/>
  <c r="I38" i="2" s="1"/>
  <c r="I37" i="2"/>
  <c r="J38" i="2" l="1"/>
  <c r="H38" i="2"/>
  <c r="F39" i="2" s="1"/>
  <c r="J39" i="2" s="1"/>
  <c r="H39" i="2" l="1"/>
  <c r="F40" i="2" s="1"/>
  <c r="G40" i="2" s="1"/>
  <c r="I40" i="2" s="1"/>
  <c r="G39" i="2"/>
  <c r="I39" i="2" l="1"/>
  <c r="H40" i="2"/>
  <c r="F41" i="2" s="1"/>
  <c r="J41" i="2" s="1"/>
  <c r="J40" i="2"/>
  <c r="J42" i="2" l="1"/>
  <c r="E68" i="2" s="1"/>
  <c r="H41" i="2"/>
  <c r="G41" i="2"/>
  <c r="E57" i="2" l="1"/>
  <c r="E54" i="2"/>
  <c r="E51" i="2"/>
  <c r="I41" i="2"/>
  <c r="I42" i="2" s="1"/>
  <c r="E63" i="2" s="1"/>
  <c r="G42" i="2"/>
  <c r="F25" i="4" l="1"/>
  <c r="E47" i="2"/>
</calcChain>
</file>

<file path=xl/sharedStrings.xml><?xml version="1.0" encoding="utf-8"?>
<sst xmlns="http://schemas.openxmlformats.org/spreadsheetml/2006/main" count="126" uniqueCount="104">
  <si>
    <t>Simulate a game of dice that generates discrete random variate using random number generation</t>
  </si>
  <si>
    <t>Player</t>
  </si>
  <si>
    <t>Iteration</t>
  </si>
  <si>
    <t>A</t>
  </si>
  <si>
    <t>B</t>
  </si>
  <si>
    <t>C</t>
  </si>
  <si>
    <t>Simulate a performance evaluation of single server queuing system.</t>
  </si>
  <si>
    <t>Service Time(min)</t>
  </si>
  <si>
    <t>Probability</t>
  </si>
  <si>
    <t>RandomDigits(For Arrival)</t>
  </si>
  <si>
    <t>RandomDigits(For Service)</t>
  </si>
  <si>
    <t>-</t>
  </si>
  <si>
    <t>Arrival Time Distribution</t>
  </si>
  <si>
    <t>Customer</t>
  </si>
  <si>
    <t>Assuming the following scenario for a single server queuing system for simulation of  6 customer, with inter arrival time from 1-6 mins</t>
  </si>
  <si>
    <t>Inter-Arrival Time</t>
  </si>
  <si>
    <t>Probability Of Event</t>
  </si>
  <si>
    <t>Cumulative Probability</t>
  </si>
  <si>
    <t>Random Digit FROM</t>
  </si>
  <si>
    <t>Random Digit  TO</t>
  </si>
  <si>
    <t>Total</t>
  </si>
  <si>
    <t>Service Time Distribution</t>
  </si>
  <si>
    <t>Service Time</t>
  </si>
  <si>
    <t>RandomDigit</t>
  </si>
  <si>
    <t>Arrival Time Assignment</t>
  </si>
  <si>
    <t>Selected Arrival Time</t>
  </si>
  <si>
    <t>Service Time Assignment</t>
  </si>
  <si>
    <t>Selected Service Time</t>
  </si>
  <si>
    <t>Simulation Table</t>
  </si>
  <si>
    <t>IAT</t>
  </si>
  <si>
    <t>ServiceTime</t>
  </si>
  <si>
    <t>Arrival  Time</t>
  </si>
  <si>
    <t>Service Time Start</t>
  </si>
  <si>
    <t>Service Time End</t>
  </si>
  <si>
    <t>Waiting Time</t>
  </si>
  <si>
    <t>Time In System</t>
  </si>
  <si>
    <t>Server Idle Time</t>
  </si>
  <si>
    <t>Total Time In Queue/ Total No. of Customer</t>
  </si>
  <si>
    <t>No. of Customer In Queue/ Total No. of Customer</t>
  </si>
  <si>
    <t>Total Idle Server Time/ Last Service Time End</t>
  </si>
  <si>
    <t>Total Service Time / Total No. of Customer</t>
  </si>
  <si>
    <t>Total IAT / Total No. of Customer - 1</t>
  </si>
  <si>
    <t>Total System Time / Total No. of Customer</t>
  </si>
  <si>
    <t xml:space="preserve">Avg SystemTime = </t>
  </si>
  <si>
    <t xml:space="preserve"> = </t>
  </si>
  <si>
    <t xml:space="preserve">Probability(CustomerInQueue) = </t>
  </si>
  <si>
    <t xml:space="preserve">Probability(ServerIdle) = </t>
  </si>
  <si>
    <t xml:space="preserve">Avg Service Time = </t>
  </si>
  <si>
    <t xml:space="preserve">Average Waiting Time of a Customer = </t>
  </si>
  <si>
    <t xml:space="preserve">Avg IAT = </t>
  </si>
  <si>
    <t xml:space="preserve">ServerUtilization = </t>
  </si>
  <si>
    <t>Avg Arrival Rate / Avg Service Rate</t>
  </si>
  <si>
    <t>Total Busy Time / Total Time</t>
  </si>
  <si>
    <t>Total Service Time / (Total Service Time + Total Idle Time)</t>
  </si>
  <si>
    <t>Monte-Carlo Simulation for value of PI</t>
  </si>
  <si>
    <t>X</t>
  </si>
  <si>
    <t>Y</t>
  </si>
  <si>
    <t>Points</t>
  </si>
  <si>
    <t>Total Points inside circle</t>
  </si>
  <si>
    <t>Total number of Sample Points</t>
  </si>
  <si>
    <t>n/N</t>
  </si>
  <si>
    <t>Value of PI</t>
  </si>
  <si>
    <t>Rectangular Points</t>
  </si>
  <si>
    <t>Points In Circle</t>
  </si>
  <si>
    <t>InCircle?</t>
  </si>
  <si>
    <t>Perform Uniformity test using Chi-square test.</t>
  </si>
  <si>
    <t>Expected Frequency(Ei)</t>
  </si>
  <si>
    <t>DataSet</t>
  </si>
  <si>
    <t>Num</t>
  </si>
  <si>
    <t>Constructing data set using RAND() for 690 samples</t>
  </si>
  <si>
    <t>Total Samples</t>
  </si>
  <si>
    <t>Min Value</t>
  </si>
  <si>
    <t>Max Value</t>
  </si>
  <si>
    <t>ClassInterval(From)</t>
  </si>
  <si>
    <t>ClassInterval(To)</t>
  </si>
  <si>
    <t>SN</t>
  </si>
  <si>
    <t>Constructing n = 10 intervals of equal width;</t>
  </si>
  <si>
    <t>i.e</t>
  </si>
  <si>
    <t>Expected Frequency</t>
  </si>
  <si>
    <t>Number of Class</t>
  </si>
  <si>
    <t>TotalSample/No. Of Class</t>
  </si>
  <si>
    <t>Here</t>
  </si>
  <si>
    <r>
      <t xml:space="preserve">Calculated </t>
    </r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</rPr>
      <t>²</t>
    </r>
  </si>
  <si>
    <t>Degree of Freedom</t>
  </si>
  <si>
    <t xml:space="preserve"> = n - 1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</si>
  <si>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(Oi - Ei)²/ Ei</t>
    </r>
  </si>
  <si>
    <t>(Oi - Ei)²/ Ei</t>
  </si>
  <si>
    <t>Observed Frequency(Oi)</t>
  </si>
  <si>
    <t>Level of Significance</t>
  </si>
  <si>
    <t>Critical Value</t>
  </si>
  <si>
    <t>Conclusion</t>
  </si>
  <si>
    <t>Perform Uniformity test using Kolmogorov-Smirnov test.</t>
  </si>
  <si>
    <t>Random Number</t>
  </si>
  <si>
    <t>D+</t>
  </si>
  <si>
    <t>Random Number(Sorted)</t>
  </si>
  <si>
    <t>i</t>
  </si>
  <si>
    <t>i/n - Ri</t>
  </si>
  <si>
    <t>Ri - (i-1)/n</t>
  </si>
  <si>
    <t>D-</t>
  </si>
  <si>
    <t>D</t>
  </si>
  <si>
    <t>Generating 10 random numbers using RAND()</t>
  </si>
  <si>
    <t>Level Of Significance</t>
  </si>
  <si>
    <t>0.5</t>
  </si>
  <si>
    <t>From K-S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</si>
</sst>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&quot;$&quot;* #,##0_);_(&quot;$&quot;* \(#,##0\);_(&quot;$&quot;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34998626667073579"/>
        <bgColor theme="0" tint="-0.34998626667073579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double">
        <color theme="1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3" xfId="0" applyBorder="1"/>
    <xf numFmtId="0" fontId="0" fillId="0" borderId="10" xfId="0" applyBorder="1"/>
    <xf numFmtId="0" fontId="0" fillId="0" borderId="8" xfId="0" applyBorder="1"/>
    <xf numFmtId="0" fontId="0" fillId="0" borderId="14" xfId="0" applyBorder="1"/>
    <xf numFmtId="0" fontId="0" fillId="0" borderId="9" xfId="0" applyBorder="1"/>
    <xf numFmtId="0" fontId="0" fillId="0" borderId="15" xfId="0" applyBorder="1"/>
    <xf numFmtId="0" fontId="0" fillId="0" borderId="11" xfId="0" applyBorder="1"/>
    <xf numFmtId="0" fontId="0" fillId="0" borderId="12" xfId="0" applyBorder="1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quotePrefix="1"/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1" fillId="0" borderId="0" xfId="0" applyFont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49" fontId="0" fillId="0" borderId="0" xfId="0" applyNumberFormat="1"/>
    <xf numFmtId="0" fontId="0" fillId="3" borderId="0" xfId="0" applyFill="1"/>
    <xf numFmtId="0" fontId="0" fillId="4" borderId="0" xfId="0" applyFill="1"/>
    <xf numFmtId="0" fontId="1" fillId="4" borderId="16" xfId="0" applyFont="1" applyFill="1" applyBorder="1"/>
    <xf numFmtId="0" fontId="3" fillId="2" borderId="0" xfId="0" applyFont="1" applyFill="1" applyAlignment="1">
      <alignment horizontal="center" vertical="center" wrapText="1"/>
    </xf>
    <xf numFmtId="0" fontId="0" fillId="0" borderId="5" xfId="0" applyBorder="1"/>
    <xf numFmtId="0" fontId="1" fillId="0" borderId="1" xfId="0" applyFont="1" applyBorder="1"/>
    <xf numFmtId="49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0" xfId="0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 vertical="top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NumberFormat="1"/>
    <xf numFmtId="164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2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 In Rectangle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1930867922065784E-2"/>
          <c:y val="0.23863345679965822"/>
          <c:w val="0.82162705347232212"/>
          <c:h val="0.6876617454242535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'Q6-MonteCarloSim'!$C$6:$C$1005</c:f>
              <c:numCache>
                <c:formatCode>General</c:formatCode>
                <c:ptCount val="1000"/>
                <c:pt idx="0">
                  <c:v>0.40535394854795692</c:v>
                </c:pt>
                <c:pt idx="1">
                  <c:v>0.94345972150978241</c:v>
                </c:pt>
                <c:pt idx="2">
                  <c:v>0.2409096950427454</c:v>
                </c:pt>
                <c:pt idx="3">
                  <c:v>-0.74502543659784548</c:v>
                </c:pt>
                <c:pt idx="4">
                  <c:v>5.6276251057616911E-2</c:v>
                </c:pt>
                <c:pt idx="5">
                  <c:v>-5.1274131493358244E-2</c:v>
                </c:pt>
                <c:pt idx="6">
                  <c:v>-0.71410501862946751</c:v>
                </c:pt>
                <c:pt idx="7">
                  <c:v>0.92215442127880154</c:v>
                </c:pt>
                <c:pt idx="8">
                  <c:v>0.70145147196117286</c:v>
                </c:pt>
                <c:pt idx="9">
                  <c:v>0.43325838494123037</c:v>
                </c:pt>
                <c:pt idx="10">
                  <c:v>-0.20397225370751682</c:v>
                </c:pt>
                <c:pt idx="11">
                  <c:v>-0.48644953157281701</c:v>
                </c:pt>
                <c:pt idx="12">
                  <c:v>-0.53715637247330394</c:v>
                </c:pt>
                <c:pt idx="13">
                  <c:v>-0.5095859757908292</c:v>
                </c:pt>
                <c:pt idx="14">
                  <c:v>-0.20143089185325902</c:v>
                </c:pt>
                <c:pt idx="15">
                  <c:v>-0.97685890790747631</c:v>
                </c:pt>
                <c:pt idx="16">
                  <c:v>-0.77144733315208702</c:v>
                </c:pt>
                <c:pt idx="17">
                  <c:v>0.1159827277835066</c:v>
                </c:pt>
                <c:pt idx="18">
                  <c:v>-0.69785726548058546</c:v>
                </c:pt>
                <c:pt idx="19">
                  <c:v>-0.19744847985072655</c:v>
                </c:pt>
                <c:pt idx="20">
                  <c:v>-0.23996604010327904</c:v>
                </c:pt>
                <c:pt idx="21">
                  <c:v>0.64915806398013198</c:v>
                </c:pt>
                <c:pt idx="22">
                  <c:v>0.62222821111035298</c:v>
                </c:pt>
                <c:pt idx="23">
                  <c:v>-0.12364868577562982</c:v>
                </c:pt>
                <c:pt idx="24">
                  <c:v>0.69266399245916532</c:v>
                </c:pt>
                <c:pt idx="25">
                  <c:v>-0.43561204275459287</c:v>
                </c:pt>
                <c:pt idx="26">
                  <c:v>-0.49596569935898427</c:v>
                </c:pt>
                <c:pt idx="27">
                  <c:v>-0.23659607684334882</c:v>
                </c:pt>
                <c:pt idx="28">
                  <c:v>-0.20781461602996676</c:v>
                </c:pt>
                <c:pt idx="29">
                  <c:v>-0.98919045374388248</c:v>
                </c:pt>
                <c:pt idx="30">
                  <c:v>0.4003460995601813</c:v>
                </c:pt>
                <c:pt idx="31">
                  <c:v>0.85928697278380017</c:v>
                </c:pt>
                <c:pt idx="32">
                  <c:v>0.21680506201128225</c:v>
                </c:pt>
                <c:pt idx="33">
                  <c:v>0.13012659984233954</c:v>
                </c:pt>
                <c:pt idx="34">
                  <c:v>0.55011971586114905</c:v>
                </c:pt>
                <c:pt idx="35">
                  <c:v>0.32449124366374571</c:v>
                </c:pt>
                <c:pt idx="36">
                  <c:v>-0.15796690982357209</c:v>
                </c:pt>
                <c:pt idx="37">
                  <c:v>0.42137422928926993</c:v>
                </c:pt>
                <c:pt idx="38">
                  <c:v>8.6674509102556918E-2</c:v>
                </c:pt>
                <c:pt idx="39">
                  <c:v>0.39812241632977785</c:v>
                </c:pt>
                <c:pt idx="40">
                  <c:v>0.66231740922055393</c:v>
                </c:pt>
                <c:pt idx="41">
                  <c:v>3.7425264583599738E-2</c:v>
                </c:pt>
                <c:pt idx="42">
                  <c:v>-0.75783101957383869</c:v>
                </c:pt>
                <c:pt idx="43">
                  <c:v>-0.87781490445431332</c:v>
                </c:pt>
                <c:pt idx="44">
                  <c:v>0.84336992561453528</c:v>
                </c:pt>
                <c:pt idx="45">
                  <c:v>0.17566559960545036</c:v>
                </c:pt>
                <c:pt idx="46">
                  <c:v>-0.72690255453986374</c:v>
                </c:pt>
                <c:pt idx="47">
                  <c:v>0.72615685444236022</c:v>
                </c:pt>
                <c:pt idx="48">
                  <c:v>-5.2513634767059614E-3</c:v>
                </c:pt>
                <c:pt idx="49">
                  <c:v>0.40661042054769481</c:v>
                </c:pt>
                <c:pt idx="50">
                  <c:v>0.68972869784085522</c:v>
                </c:pt>
                <c:pt idx="51">
                  <c:v>0.95686619120545502</c:v>
                </c:pt>
                <c:pt idx="52">
                  <c:v>0.78984293391811566</c:v>
                </c:pt>
                <c:pt idx="53">
                  <c:v>-0.87754506390582798</c:v>
                </c:pt>
                <c:pt idx="54">
                  <c:v>-8.5657563037823348E-2</c:v>
                </c:pt>
                <c:pt idx="55">
                  <c:v>-0.20788729705399267</c:v>
                </c:pt>
                <c:pt idx="56">
                  <c:v>-6.940975836333596E-2</c:v>
                </c:pt>
                <c:pt idx="57">
                  <c:v>-0.47743678889735031</c:v>
                </c:pt>
                <c:pt idx="58">
                  <c:v>-9.9662186410793829E-2</c:v>
                </c:pt>
                <c:pt idx="59">
                  <c:v>-0.28554816542227268</c:v>
                </c:pt>
                <c:pt idx="60">
                  <c:v>0.97271278679053741</c:v>
                </c:pt>
                <c:pt idx="61">
                  <c:v>-6.938309103491247E-2</c:v>
                </c:pt>
                <c:pt idx="62">
                  <c:v>-0.24435153894438999</c:v>
                </c:pt>
                <c:pt idx="63">
                  <c:v>0.2960470640436963</c:v>
                </c:pt>
                <c:pt idx="64">
                  <c:v>-0.34640190414197591</c:v>
                </c:pt>
                <c:pt idx="65">
                  <c:v>-0.25470011114537394</c:v>
                </c:pt>
                <c:pt idx="66">
                  <c:v>-0.99838104558040675</c:v>
                </c:pt>
                <c:pt idx="67">
                  <c:v>0.2358623863733309</c:v>
                </c:pt>
                <c:pt idx="68">
                  <c:v>0.88750122419487187</c:v>
                </c:pt>
                <c:pt idx="69">
                  <c:v>0.85348364542249722</c:v>
                </c:pt>
                <c:pt idx="70">
                  <c:v>0.57794303627225729</c:v>
                </c:pt>
                <c:pt idx="71">
                  <c:v>-0.70311567799572439</c:v>
                </c:pt>
                <c:pt idx="72">
                  <c:v>0.45442622588802606</c:v>
                </c:pt>
                <c:pt idx="73">
                  <c:v>0.38281518547636328</c:v>
                </c:pt>
                <c:pt idx="74">
                  <c:v>0.36223105358009633</c:v>
                </c:pt>
                <c:pt idx="75">
                  <c:v>7.7727004244351638E-2</c:v>
                </c:pt>
                <c:pt idx="76">
                  <c:v>0.18508382320181749</c:v>
                </c:pt>
                <c:pt idx="77">
                  <c:v>-0.66071627188408799</c:v>
                </c:pt>
                <c:pt idx="78">
                  <c:v>0.28706266955841686</c:v>
                </c:pt>
                <c:pt idx="79">
                  <c:v>-0.5465404777616123</c:v>
                </c:pt>
                <c:pt idx="80">
                  <c:v>-0.427277187137866</c:v>
                </c:pt>
                <c:pt idx="81">
                  <c:v>0.27317102960007933</c:v>
                </c:pt>
                <c:pt idx="82">
                  <c:v>9.2479277076918054E-2</c:v>
                </c:pt>
                <c:pt idx="83">
                  <c:v>0.13942845285293859</c:v>
                </c:pt>
                <c:pt idx="84">
                  <c:v>-0.38219692997006938</c:v>
                </c:pt>
                <c:pt idx="85">
                  <c:v>0.65465450538945613</c:v>
                </c:pt>
                <c:pt idx="86">
                  <c:v>-0.53370833926990646</c:v>
                </c:pt>
                <c:pt idx="87">
                  <c:v>-0.89890919331875496</c:v>
                </c:pt>
                <c:pt idx="88">
                  <c:v>0.47743965121161946</c:v>
                </c:pt>
                <c:pt idx="89">
                  <c:v>0.40197786523731227</c:v>
                </c:pt>
                <c:pt idx="90">
                  <c:v>-0.71298835895301882</c:v>
                </c:pt>
                <c:pt idx="91">
                  <c:v>-5.4290085389908871E-2</c:v>
                </c:pt>
                <c:pt idx="92">
                  <c:v>-0.8226452170685894</c:v>
                </c:pt>
                <c:pt idx="93">
                  <c:v>0.87417393295984502</c:v>
                </c:pt>
                <c:pt idx="94">
                  <c:v>-7.9917187854881E-2</c:v>
                </c:pt>
                <c:pt idx="95">
                  <c:v>0.54451318917702296</c:v>
                </c:pt>
                <c:pt idx="96">
                  <c:v>0.99672649048035522</c:v>
                </c:pt>
                <c:pt idx="97">
                  <c:v>-4.3593010469631599E-2</c:v>
                </c:pt>
                <c:pt idx="98">
                  <c:v>0.42095343545512676</c:v>
                </c:pt>
                <c:pt idx="99">
                  <c:v>0.43825312542172989</c:v>
                </c:pt>
                <c:pt idx="100">
                  <c:v>-0.42836041451707674</c:v>
                </c:pt>
                <c:pt idx="101">
                  <c:v>-0.94510410430179292</c:v>
                </c:pt>
                <c:pt idx="102">
                  <c:v>-0.23270017048643643</c:v>
                </c:pt>
                <c:pt idx="103">
                  <c:v>0.18356625129057647</c:v>
                </c:pt>
                <c:pt idx="104">
                  <c:v>-0.96261246506354059</c:v>
                </c:pt>
                <c:pt idx="105">
                  <c:v>-0.93618724663356967</c:v>
                </c:pt>
                <c:pt idx="106">
                  <c:v>0.70178958359633725</c:v>
                </c:pt>
                <c:pt idx="107">
                  <c:v>0.43858459800271077</c:v>
                </c:pt>
                <c:pt idx="108">
                  <c:v>0.26973666731314383</c:v>
                </c:pt>
                <c:pt idx="109">
                  <c:v>-0.35177911249756977</c:v>
                </c:pt>
                <c:pt idx="110">
                  <c:v>1.2295607202038816E-2</c:v>
                </c:pt>
                <c:pt idx="111">
                  <c:v>-0.54971852486238215</c:v>
                </c:pt>
                <c:pt idx="112">
                  <c:v>-0.20517807869816074</c:v>
                </c:pt>
                <c:pt idx="113">
                  <c:v>-0.5072165164059701</c:v>
                </c:pt>
                <c:pt idx="114">
                  <c:v>-0.26623852885535304</c:v>
                </c:pt>
                <c:pt idx="115">
                  <c:v>0.51343844902997526</c:v>
                </c:pt>
                <c:pt idx="116">
                  <c:v>0.33963546771523179</c:v>
                </c:pt>
                <c:pt idx="117">
                  <c:v>0.69213780627229582</c:v>
                </c:pt>
                <c:pt idx="118">
                  <c:v>6.778477407808392E-2</c:v>
                </c:pt>
                <c:pt idx="119">
                  <c:v>-0.29883699704394706</c:v>
                </c:pt>
                <c:pt idx="120">
                  <c:v>-0.29202838019660105</c:v>
                </c:pt>
                <c:pt idx="121">
                  <c:v>-0.58748422559362634</c:v>
                </c:pt>
                <c:pt idx="122">
                  <c:v>-0.78790618292975267</c:v>
                </c:pt>
                <c:pt idx="123">
                  <c:v>0.31327872301362314</c:v>
                </c:pt>
                <c:pt idx="124">
                  <c:v>0.65255502728823034</c:v>
                </c:pt>
                <c:pt idx="125">
                  <c:v>-0.3014186189634589</c:v>
                </c:pt>
                <c:pt idx="126">
                  <c:v>0.45706417978512981</c:v>
                </c:pt>
                <c:pt idx="127">
                  <c:v>-0.58180532532665996</c:v>
                </c:pt>
                <c:pt idx="128">
                  <c:v>0.77412659031814379</c:v>
                </c:pt>
                <c:pt idx="129">
                  <c:v>0.30392023107240007</c:v>
                </c:pt>
                <c:pt idx="130">
                  <c:v>0.4082799670656363</c:v>
                </c:pt>
                <c:pt idx="131">
                  <c:v>-0.52440346609444655</c:v>
                </c:pt>
                <c:pt idx="132">
                  <c:v>0.83128061336340453</c:v>
                </c:pt>
                <c:pt idx="133">
                  <c:v>-2.0156355587315655E-2</c:v>
                </c:pt>
                <c:pt idx="134">
                  <c:v>-0.79695515569045039</c:v>
                </c:pt>
                <c:pt idx="135">
                  <c:v>0.74895374354563171</c:v>
                </c:pt>
                <c:pt idx="136">
                  <c:v>0.38121395640996902</c:v>
                </c:pt>
                <c:pt idx="137">
                  <c:v>0.33188448330440945</c:v>
                </c:pt>
                <c:pt idx="138">
                  <c:v>0.1567591573105318</c:v>
                </c:pt>
                <c:pt idx="139">
                  <c:v>-0.4364841498816614</c:v>
                </c:pt>
                <c:pt idx="140">
                  <c:v>9.8262655385902065E-2</c:v>
                </c:pt>
                <c:pt idx="141">
                  <c:v>0.19486283565280749</c:v>
                </c:pt>
                <c:pt idx="142">
                  <c:v>-0.20222519611694301</c:v>
                </c:pt>
                <c:pt idx="143">
                  <c:v>0.78935025466120212</c:v>
                </c:pt>
                <c:pt idx="144">
                  <c:v>-0.54705844320092623</c:v>
                </c:pt>
                <c:pt idx="145">
                  <c:v>-0.63049013924685404</c:v>
                </c:pt>
                <c:pt idx="146">
                  <c:v>0.53689413856342805</c:v>
                </c:pt>
                <c:pt idx="147">
                  <c:v>-0.67278219079529089</c:v>
                </c:pt>
                <c:pt idx="148">
                  <c:v>-0.66818547920170768</c:v>
                </c:pt>
                <c:pt idx="149">
                  <c:v>0.36453619735285137</c:v>
                </c:pt>
                <c:pt idx="150">
                  <c:v>-0.61226929925905815</c:v>
                </c:pt>
                <c:pt idx="151">
                  <c:v>0.33487535306499261</c:v>
                </c:pt>
                <c:pt idx="152">
                  <c:v>-0.30931167947879668</c:v>
                </c:pt>
                <c:pt idx="153">
                  <c:v>0.65656052329772785</c:v>
                </c:pt>
                <c:pt idx="154">
                  <c:v>-0.8003420659168905</c:v>
                </c:pt>
                <c:pt idx="155">
                  <c:v>-0.56970911072418851</c:v>
                </c:pt>
                <c:pt idx="156">
                  <c:v>0.98869504238081296</c:v>
                </c:pt>
                <c:pt idx="157">
                  <c:v>-0.14840162517273314</c:v>
                </c:pt>
                <c:pt idx="158">
                  <c:v>-0.38343955738621638</c:v>
                </c:pt>
                <c:pt idx="159">
                  <c:v>-0.46501626297485243</c:v>
                </c:pt>
                <c:pt idx="160">
                  <c:v>-3.8367566206443104E-2</c:v>
                </c:pt>
                <c:pt idx="161">
                  <c:v>-0.6806921425017618</c:v>
                </c:pt>
                <c:pt idx="162">
                  <c:v>-0.14909852735979978</c:v>
                </c:pt>
                <c:pt idx="163">
                  <c:v>-0.68329365644956463</c:v>
                </c:pt>
                <c:pt idx="164">
                  <c:v>-0.37344699610268295</c:v>
                </c:pt>
                <c:pt idx="165">
                  <c:v>-0.7103234402219627</c:v>
                </c:pt>
                <c:pt idx="166">
                  <c:v>-0.25379099220261137</c:v>
                </c:pt>
                <c:pt idx="167">
                  <c:v>-0.34383169820658543</c:v>
                </c:pt>
                <c:pt idx="168">
                  <c:v>-0.84952193172697577</c:v>
                </c:pt>
                <c:pt idx="169">
                  <c:v>-0.54712686672923083</c:v>
                </c:pt>
                <c:pt idx="170">
                  <c:v>-0.18755392827359452</c:v>
                </c:pt>
                <c:pt idx="171">
                  <c:v>-0.7567933897065009</c:v>
                </c:pt>
                <c:pt idx="172">
                  <c:v>-0.87964310062966633</c:v>
                </c:pt>
                <c:pt idx="173">
                  <c:v>0.2331079987311615</c:v>
                </c:pt>
                <c:pt idx="174">
                  <c:v>0.17244663618310563</c:v>
                </c:pt>
                <c:pt idx="175">
                  <c:v>0.98007726273574347</c:v>
                </c:pt>
                <c:pt idx="176">
                  <c:v>-0.98931249411960942</c:v>
                </c:pt>
                <c:pt idx="177">
                  <c:v>-0.51588963580604719</c:v>
                </c:pt>
                <c:pt idx="178">
                  <c:v>0.42024348373617637</c:v>
                </c:pt>
                <c:pt idx="179">
                  <c:v>-0.28610919245386324</c:v>
                </c:pt>
                <c:pt idx="180">
                  <c:v>0.74883323749821895</c:v>
                </c:pt>
                <c:pt idx="181">
                  <c:v>-0.27389661292448175</c:v>
                </c:pt>
                <c:pt idx="182">
                  <c:v>-0.40857593401037406</c:v>
                </c:pt>
                <c:pt idx="183">
                  <c:v>-0.9935409084792417</c:v>
                </c:pt>
                <c:pt idx="184">
                  <c:v>-0.81588442482789314</c:v>
                </c:pt>
                <c:pt idx="185">
                  <c:v>0.87376294553599743</c:v>
                </c:pt>
                <c:pt idx="186">
                  <c:v>-0.34599716560235017</c:v>
                </c:pt>
                <c:pt idx="187">
                  <c:v>0.21681288454455494</c:v>
                </c:pt>
                <c:pt idx="188">
                  <c:v>-0.78956255700716871</c:v>
                </c:pt>
                <c:pt idx="189">
                  <c:v>0.32618104902446721</c:v>
                </c:pt>
                <c:pt idx="190">
                  <c:v>0.58067190636130128</c:v>
                </c:pt>
                <c:pt idx="191">
                  <c:v>0.41822604002109465</c:v>
                </c:pt>
                <c:pt idx="192">
                  <c:v>-0.8912165973577828</c:v>
                </c:pt>
                <c:pt idx="193">
                  <c:v>-0.77462929813822723</c:v>
                </c:pt>
                <c:pt idx="194">
                  <c:v>-0.29146307681398942</c:v>
                </c:pt>
                <c:pt idx="195">
                  <c:v>0.11702183378485431</c:v>
                </c:pt>
                <c:pt idx="196">
                  <c:v>0.46599265863341954</c:v>
                </c:pt>
                <c:pt idx="197">
                  <c:v>-0.73041074598094902</c:v>
                </c:pt>
                <c:pt idx="198">
                  <c:v>0.13061031882047058</c:v>
                </c:pt>
                <c:pt idx="199">
                  <c:v>-0.87356145321287548</c:v>
                </c:pt>
                <c:pt idx="200">
                  <c:v>-0.9511023104333225</c:v>
                </c:pt>
                <c:pt idx="201">
                  <c:v>-0.24590411753837982</c:v>
                </c:pt>
                <c:pt idx="202">
                  <c:v>0.51826534562871318</c:v>
                </c:pt>
                <c:pt idx="203">
                  <c:v>-0.6771569944186937</c:v>
                </c:pt>
                <c:pt idx="204">
                  <c:v>0.85137765048316449</c:v>
                </c:pt>
                <c:pt idx="205">
                  <c:v>-0.69032737151475354</c:v>
                </c:pt>
                <c:pt idx="206">
                  <c:v>-0.94364017211844842</c:v>
                </c:pt>
                <c:pt idx="207">
                  <c:v>-0.2271730022946461</c:v>
                </c:pt>
                <c:pt idx="208">
                  <c:v>-0.76543477268146298</c:v>
                </c:pt>
                <c:pt idx="209">
                  <c:v>-0.85040206610081359</c:v>
                </c:pt>
                <c:pt idx="210">
                  <c:v>-0.46551482681582068</c:v>
                </c:pt>
                <c:pt idx="211">
                  <c:v>-6.7208507044335342E-2</c:v>
                </c:pt>
                <c:pt idx="212">
                  <c:v>-0.45644087813599543</c:v>
                </c:pt>
                <c:pt idx="213">
                  <c:v>0.46989225443897942</c:v>
                </c:pt>
                <c:pt idx="214">
                  <c:v>-0.33452775751056896</c:v>
                </c:pt>
                <c:pt idx="215">
                  <c:v>-5.8113548889930255E-2</c:v>
                </c:pt>
                <c:pt idx="216">
                  <c:v>-0.54203627656751774</c:v>
                </c:pt>
                <c:pt idx="217">
                  <c:v>0.86884783292203571</c:v>
                </c:pt>
                <c:pt idx="218">
                  <c:v>0.44419839596069322</c:v>
                </c:pt>
                <c:pt idx="219">
                  <c:v>-0.43234405307187651</c:v>
                </c:pt>
                <c:pt idx="220">
                  <c:v>-0.97681667381250037</c:v>
                </c:pt>
                <c:pt idx="221">
                  <c:v>-0.66210547456058078</c:v>
                </c:pt>
                <c:pt idx="222">
                  <c:v>7.213173409713125E-2</c:v>
                </c:pt>
                <c:pt idx="223">
                  <c:v>0.48907876101576897</c:v>
                </c:pt>
                <c:pt idx="224">
                  <c:v>-0.65676757161541865</c:v>
                </c:pt>
                <c:pt idx="225">
                  <c:v>-0.29643631372104373</c:v>
                </c:pt>
                <c:pt idx="226">
                  <c:v>0.66018279728306695</c:v>
                </c:pt>
                <c:pt idx="227">
                  <c:v>-0.58604932488149974</c:v>
                </c:pt>
                <c:pt idx="228">
                  <c:v>-0.14428833903612603</c:v>
                </c:pt>
                <c:pt idx="229">
                  <c:v>-0.2006460528822902</c:v>
                </c:pt>
                <c:pt idx="230">
                  <c:v>0.9626566021577061</c:v>
                </c:pt>
                <c:pt idx="231">
                  <c:v>-0.33396736631957147</c:v>
                </c:pt>
                <c:pt idx="232">
                  <c:v>-0.69242989220887785</c:v>
                </c:pt>
                <c:pt idx="233">
                  <c:v>0.51234021267152952</c:v>
                </c:pt>
                <c:pt idx="234">
                  <c:v>2.7428793502135784E-2</c:v>
                </c:pt>
                <c:pt idx="235">
                  <c:v>-0.94832507927985321</c:v>
                </c:pt>
                <c:pt idx="236">
                  <c:v>-9.6780187235650406E-2</c:v>
                </c:pt>
                <c:pt idx="237">
                  <c:v>-0.97085523831796805</c:v>
                </c:pt>
                <c:pt idx="238">
                  <c:v>0.80718511570568574</c:v>
                </c:pt>
                <c:pt idx="239">
                  <c:v>1.0772496975419266E-2</c:v>
                </c:pt>
                <c:pt idx="240">
                  <c:v>-0.53221861253981317</c:v>
                </c:pt>
                <c:pt idx="241">
                  <c:v>0.14415590967220981</c:v>
                </c:pt>
                <c:pt idx="242">
                  <c:v>-0.78200623618530618</c:v>
                </c:pt>
                <c:pt idx="243">
                  <c:v>0.93195002198053345</c:v>
                </c:pt>
                <c:pt idx="244">
                  <c:v>-0.893043523610491</c:v>
                </c:pt>
                <c:pt idx="245">
                  <c:v>0.16843000346755299</c:v>
                </c:pt>
                <c:pt idx="246">
                  <c:v>-0.58088987672587433</c:v>
                </c:pt>
                <c:pt idx="247">
                  <c:v>0.94120145711105607</c:v>
                </c:pt>
                <c:pt idx="248">
                  <c:v>-0.39553126999407273</c:v>
                </c:pt>
                <c:pt idx="249">
                  <c:v>-0.75565836845477108</c:v>
                </c:pt>
                <c:pt idx="250">
                  <c:v>0.81948320629582638</c:v>
                </c:pt>
                <c:pt idx="251">
                  <c:v>-5.1099344791523116E-3</c:v>
                </c:pt>
                <c:pt idx="252">
                  <c:v>0.33647815510700219</c:v>
                </c:pt>
                <c:pt idx="253">
                  <c:v>-8.5066309509044702E-2</c:v>
                </c:pt>
                <c:pt idx="254">
                  <c:v>-0.1829297847294924</c:v>
                </c:pt>
                <c:pt idx="255">
                  <c:v>-0.27450678865555989</c:v>
                </c:pt>
                <c:pt idx="256">
                  <c:v>0.27851468215067632</c:v>
                </c:pt>
                <c:pt idx="257">
                  <c:v>0.2393196618545359</c:v>
                </c:pt>
                <c:pt idx="258">
                  <c:v>0.28344121226706176</c:v>
                </c:pt>
                <c:pt idx="259">
                  <c:v>5.7760665232971187E-2</c:v>
                </c:pt>
                <c:pt idx="260">
                  <c:v>0.25349598207556245</c:v>
                </c:pt>
                <c:pt idx="261">
                  <c:v>-0.82735511268160011</c:v>
                </c:pt>
                <c:pt idx="262">
                  <c:v>-0.77434553132552542</c:v>
                </c:pt>
                <c:pt idx="263">
                  <c:v>-0.87161241096168229</c:v>
                </c:pt>
                <c:pt idx="264">
                  <c:v>-0.98135418401554042</c:v>
                </c:pt>
                <c:pt idx="265">
                  <c:v>0.38985156417494227</c:v>
                </c:pt>
                <c:pt idx="266">
                  <c:v>-0.89752516956963269</c:v>
                </c:pt>
                <c:pt idx="267">
                  <c:v>0.69199859723947332</c:v>
                </c:pt>
                <c:pt idx="268">
                  <c:v>0.26964456206574039</c:v>
                </c:pt>
                <c:pt idx="269">
                  <c:v>-0.38532399832074282</c:v>
                </c:pt>
                <c:pt idx="270">
                  <c:v>-0.56643309260169938</c:v>
                </c:pt>
                <c:pt idx="271">
                  <c:v>0.25462326382857037</c:v>
                </c:pt>
                <c:pt idx="272">
                  <c:v>-0.61640967610476816</c:v>
                </c:pt>
                <c:pt idx="273">
                  <c:v>-6.064838645353654E-2</c:v>
                </c:pt>
                <c:pt idx="274">
                  <c:v>-1.4023182746643714E-2</c:v>
                </c:pt>
                <c:pt idx="275">
                  <c:v>-0.42159519639194132</c:v>
                </c:pt>
                <c:pt idx="276">
                  <c:v>-0.9497838393424971</c:v>
                </c:pt>
                <c:pt idx="277">
                  <c:v>-0.9289383015878987</c:v>
                </c:pt>
                <c:pt idx="278">
                  <c:v>0.37756057133686194</c:v>
                </c:pt>
                <c:pt idx="279">
                  <c:v>0.7906262461829312</c:v>
                </c:pt>
                <c:pt idx="280">
                  <c:v>-0.91178536930224374</c:v>
                </c:pt>
                <c:pt idx="281">
                  <c:v>-0.9721437985664847</c:v>
                </c:pt>
                <c:pt idx="282">
                  <c:v>-0.52246668885562619</c:v>
                </c:pt>
                <c:pt idx="283">
                  <c:v>0.8160265495420731</c:v>
                </c:pt>
                <c:pt idx="284">
                  <c:v>0.42723821621826819</c:v>
                </c:pt>
                <c:pt idx="285">
                  <c:v>-0.75846870163427593</c:v>
                </c:pt>
                <c:pt idx="286">
                  <c:v>0.81655104852216343</c:v>
                </c:pt>
                <c:pt idx="287">
                  <c:v>0.1582812330015646</c:v>
                </c:pt>
                <c:pt idx="288">
                  <c:v>0.48309922836874031</c:v>
                </c:pt>
                <c:pt idx="289">
                  <c:v>-0.81500287259411253</c:v>
                </c:pt>
                <c:pt idx="290">
                  <c:v>-0.44710231657147204</c:v>
                </c:pt>
                <c:pt idx="291">
                  <c:v>0.41640284621733481</c:v>
                </c:pt>
                <c:pt idx="292">
                  <c:v>-0.60814997183740038</c:v>
                </c:pt>
                <c:pt idx="293">
                  <c:v>0.83895305938661457</c:v>
                </c:pt>
                <c:pt idx="294">
                  <c:v>0.79470579233201688</c:v>
                </c:pt>
                <c:pt idx="295">
                  <c:v>0.74911368171216886</c:v>
                </c:pt>
                <c:pt idx="296">
                  <c:v>-0.94701760315357308</c:v>
                </c:pt>
                <c:pt idx="297">
                  <c:v>4.4093672558698227E-2</c:v>
                </c:pt>
                <c:pt idx="298">
                  <c:v>-0.22476007288130373</c:v>
                </c:pt>
                <c:pt idx="299">
                  <c:v>0.88252018586011549</c:v>
                </c:pt>
                <c:pt idx="300">
                  <c:v>-0.98186496065499274</c:v>
                </c:pt>
                <c:pt idx="301">
                  <c:v>-0.71348233272529504</c:v>
                </c:pt>
                <c:pt idx="302">
                  <c:v>-0.11989511251521479</c:v>
                </c:pt>
                <c:pt idx="303">
                  <c:v>-0.98569774940979049</c:v>
                </c:pt>
                <c:pt idx="304">
                  <c:v>0.47913351836973872</c:v>
                </c:pt>
                <c:pt idx="305">
                  <c:v>-0.84007577354067275</c:v>
                </c:pt>
                <c:pt idx="306">
                  <c:v>0.10195417358479153</c:v>
                </c:pt>
                <c:pt idx="307">
                  <c:v>0.47939855361639405</c:v>
                </c:pt>
                <c:pt idx="308">
                  <c:v>0.74997586527170368</c:v>
                </c:pt>
                <c:pt idx="309">
                  <c:v>0.72244898438375915</c:v>
                </c:pt>
                <c:pt idx="310">
                  <c:v>0.5116331041141744</c:v>
                </c:pt>
                <c:pt idx="311">
                  <c:v>-0.74216597502374593</c:v>
                </c:pt>
                <c:pt idx="312">
                  <c:v>-0.99971540993192387</c:v>
                </c:pt>
                <c:pt idx="313">
                  <c:v>-0.12445500539634025</c:v>
                </c:pt>
                <c:pt idx="314">
                  <c:v>-0.51698395076499337</c:v>
                </c:pt>
                <c:pt idx="315">
                  <c:v>-0.45095309509206816</c:v>
                </c:pt>
                <c:pt idx="316">
                  <c:v>0.96931089232865286</c:v>
                </c:pt>
                <c:pt idx="317">
                  <c:v>0.38807630421846251</c:v>
                </c:pt>
                <c:pt idx="318">
                  <c:v>0.4408030775669658</c:v>
                </c:pt>
                <c:pt idx="319">
                  <c:v>-0.77234817227295882</c:v>
                </c:pt>
                <c:pt idx="320">
                  <c:v>-0.29355462287080769</c:v>
                </c:pt>
                <c:pt idx="321">
                  <c:v>-0.53872986621476548</c:v>
                </c:pt>
                <c:pt idx="322">
                  <c:v>0.69014531483559494</c:v>
                </c:pt>
                <c:pt idx="323">
                  <c:v>-0.80448346487333966</c:v>
                </c:pt>
                <c:pt idx="324">
                  <c:v>-0.91206440056607874</c:v>
                </c:pt>
                <c:pt idx="325">
                  <c:v>-0.20954436636070106</c:v>
                </c:pt>
                <c:pt idx="326">
                  <c:v>0.74811846638681034</c:v>
                </c:pt>
                <c:pt idx="327">
                  <c:v>-0.49245016244396966</c:v>
                </c:pt>
                <c:pt idx="328">
                  <c:v>-0.63754695733311029</c:v>
                </c:pt>
                <c:pt idx="329">
                  <c:v>1.9296556753712446E-2</c:v>
                </c:pt>
                <c:pt idx="330">
                  <c:v>-0.2648260594435301</c:v>
                </c:pt>
                <c:pt idx="331">
                  <c:v>-0.17039753822562487</c:v>
                </c:pt>
                <c:pt idx="332">
                  <c:v>-0.40787723645759888</c:v>
                </c:pt>
                <c:pt idx="333">
                  <c:v>-0.17738514585136178</c:v>
                </c:pt>
                <c:pt idx="334">
                  <c:v>0.30137177839758467</c:v>
                </c:pt>
                <c:pt idx="335">
                  <c:v>-0.14245455085145786</c:v>
                </c:pt>
                <c:pt idx="336">
                  <c:v>-0.99957889084500473</c:v>
                </c:pt>
                <c:pt idx="337">
                  <c:v>-0.94325374480971003</c:v>
                </c:pt>
                <c:pt idx="338">
                  <c:v>0.41365706216010412</c:v>
                </c:pt>
                <c:pt idx="339">
                  <c:v>-0.99291616508097147</c:v>
                </c:pt>
                <c:pt idx="340">
                  <c:v>-0.75843142254010343</c:v>
                </c:pt>
                <c:pt idx="341">
                  <c:v>-0.32289122794601544</c:v>
                </c:pt>
                <c:pt idx="342">
                  <c:v>0.46101313273215827</c:v>
                </c:pt>
                <c:pt idx="343">
                  <c:v>-0.48477330293633125</c:v>
                </c:pt>
                <c:pt idx="344">
                  <c:v>-2.5477941242469049E-2</c:v>
                </c:pt>
                <c:pt idx="345">
                  <c:v>0.73458324909604666</c:v>
                </c:pt>
                <c:pt idx="346">
                  <c:v>0.92346319773713348</c:v>
                </c:pt>
                <c:pt idx="347">
                  <c:v>0.55870633607525533</c:v>
                </c:pt>
                <c:pt idx="348">
                  <c:v>-0.80804824904199424</c:v>
                </c:pt>
                <c:pt idx="349">
                  <c:v>-3.2200038020819832E-2</c:v>
                </c:pt>
                <c:pt idx="350">
                  <c:v>0.83166675185598016</c:v>
                </c:pt>
                <c:pt idx="351">
                  <c:v>-0.14327561049487958</c:v>
                </c:pt>
                <c:pt idx="352">
                  <c:v>-0.92728840722449357</c:v>
                </c:pt>
                <c:pt idx="353">
                  <c:v>0.44128789052975925</c:v>
                </c:pt>
                <c:pt idx="354">
                  <c:v>-0.35142993540729295</c:v>
                </c:pt>
                <c:pt idx="355">
                  <c:v>-0.24003558498794697</c:v>
                </c:pt>
                <c:pt idx="356">
                  <c:v>-0.71272191527747175</c:v>
                </c:pt>
                <c:pt idx="357">
                  <c:v>0.2058557775867782</c:v>
                </c:pt>
                <c:pt idx="358">
                  <c:v>0.28936904872848057</c:v>
                </c:pt>
                <c:pt idx="359">
                  <c:v>0.30103229287216782</c:v>
                </c:pt>
                <c:pt idx="360">
                  <c:v>0.4954932756377437</c:v>
                </c:pt>
                <c:pt idx="361">
                  <c:v>-0.54290336107015658</c:v>
                </c:pt>
                <c:pt idx="362">
                  <c:v>0.27230486384317909</c:v>
                </c:pt>
                <c:pt idx="363">
                  <c:v>0.99140559381405291</c:v>
                </c:pt>
                <c:pt idx="364">
                  <c:v>0.28605051785851066</c:v>
                </c:pt>
                <c:pt idx="365">
                  <c:v>-0.12486667471597812</c:v>
                </c:pt>
                <c:pt idx="366">
                  <c:v>0.40458482210013647</c:v>
                </c:pt>
                <c:pt idx="367">
                  <c:v>0.30823343617912058</c:v>
                </c:pt>
                <c:pt idx="368">
                  <c:v>-0.8015622145584973</c:v>
                </c:pt>
                <c:pt idx="369">
                  <c:v>-0.40474543201307411</c:v>
                </c:pt>
                <c:pt idx="370">
                  <c:v>0.68325960895058824</c:v>
                </c:pt>
                <c:pt idx="371">
                  <c:v>-0.22783820918261766</c:v>
                </c:pt>
                <c:pt idx="372">
                  <c:v>0.51111648423088663</c:v>
                </c:pt>
                <c:pt idx="373">
                  <c:v>0.77065977130340846</c:v>
                </c:pt>
                <c:pt idx="374">
                  <c:v>-0.65254358597902207</c:v>
                </c:pt>
                <c:pt idx="375">
                  <c:v>-0.97166997951482892</c:v>
                </c:pt>
                <c:pt idx="376">
                  <c:v>-0.54854417030625169</c:v>
                </c:pt>
                <c:pt idx="377">
                  <c:v>-0.29675990863167279</c:v>
                </c:pt>
                <c:pt idx="378">
                  <c:v>0.23362663840905151</c:v>
                </c:pt>
                <c:pt idx="379">
                  <c:v>-0.28696104924422361</c:v>
                </c:pt>
                <c:pt idx="380">
                  <c:v>-0.3699259501891019</c:v>
                </c:pt>
                <c:pt idx="381">
                  <c:v>-0.48268762049425851</c:v>
                </c:pt>
                <c:pt idx="382">
                  <c:v>-5.8943950844579041E-2</c:v>
                </c:pt>
                <c:pt idx="383">
                  <c:v>1.4013057898219605E-2</c:v>
                </c:pt>
                <c:pt idx="384">
                  <c:v>0.7681962007878369</c:v>
                </c:pt>
                <c:pt idx="385">
                  <c:v>-0.79855177387957865</c:v>
                </c:pt>
                <c:pt idx="386">
                  <c:v>-0.66806487502383405</c:v>
                </c:pt>
                <c:pt idx="387">
                  <c:v>0.89076067054663932</c:v>
                </c:pt>
                <c:pt idx="388">
                  <c:v>-0.58434520377633725</c:v>
                </c:pt>
                <c:pt idx="389">
                  <c:v>-0.20154484586789612</c:v>
                </c:pt>
                <c:pt idx="390">
                  <c:v>-0.68839566348984782</c:v>
                </c:pt>
                <c:pt idx="391">
                  <c:v>-0.94326037300509658</c:v>
                </c:pt>
                <c:pt idx="392">
                  <c:v>-0.54695204290729205</c:v>
                </c:pt>
                <c:pt idx="393">
                  <c:v>-0.89339560806220319</c:v>
                </c:pt>
                <c:pt idx="394">
                  <c:v>9.5686854087728035E-2</c:v>
                </c:pt>
                <c:pt idx="395">
                  <c:v>0.48358680020622313</c:v>
                </c:pt>
                <c:pt idx="396">
                  <c:v>-3.8446833787722401E-2</c:v>
                </c:pt>
                <c:pt idx="397">
                  <c:v>-0.13481765795147038</c:v>
                </c:pt>
                <c:pt idx="398">
                  <c:v>-0.40180849062026236</c:v>
                </c:pt>
                <c:pt idx="399">
                  <c:v>0.39683011937822621</c:v>
                </c:pt>
                <c:pt idx="400">
                  <c:v>0.15508645409432131</c:v>
                </c:pt>
                <c:pt idx="401">
                  <c:v>-0.29344567864847604</c:v>
                </c:pt>
                <c:pt idx="402">
                  <c:v>1.1981430259764725E-2</c:v>
                </c:pt>
                <c:pt idx="403">
                  <c:v>-0.12104687796585489</c:v>
                </c:pt>
                <c:pt idx="404">
                  <c:v>0.69872032527140693</c:v>
                </c:pt>
                <c:pt idx="405">
                  <c:v>8.1502150738809176E-2</c:v>
                </c:pt>
                <c:pt idx="406">
                  <c:v>-0.7574717663113042</c:v>
                </c:pt>
                <c:pt idx="407">
                  <c:v>-0.38513728544971526</c:v>
                </c:pt>
                <c:pt idx="408">
                  <c:v>-0.74436314493620293</c:v>
                </c:pt>
                <c:pt idx="409">
                  <c:v>0.83199893049882423</c:v>
                </c:pt>
                <c:pt idx="410">
                  <c:v>0.34910510545119311</c:v>
                </c:pt>
                <c:pt idx="411">
                  <c:v>1.4796781623224176E-2</c:v>
                </c:pt>
                <c:pt idx="412">
                  <c:v>-0.29632568860302766</c:v>
                </c:pt>
                <c:pt idx="413">
                  <c:v>-0.63850728197149875</c:v>
                </c:pt>
                <c:pt idx="414">
                  <c:v>0.14383591264467621</c:v>
                </c:pt>
                <c:pt idx="415">
                  <c:v>-0.34667574540158186</c:v>
                </c:pt>
                <c:pt idx="416">
                  <c:v>-0.37776643067068205</c:v>
                </c:pt>
                <c:pt idx="417">
                  <c:v>0.87363326483591108</c:v>
                </c:pt>
                <c:pt idx="418">
                  <c:v>-0.36323531406831089</c:v>
                </c:pt>
                <c:pt idx="419">
                  <c:v>0.46544128339655289</c:v>
                </c:pt>
                <c:pt idx="420">
                  <c:v>-0.54089459733338363</c:v>
                </c:pt>
                <c:pt idx="421">
                  <c:v>0.86688926506452546</c:v>
                </c:pt>
                <c:pt idx="422">
                  <c:v>-0.86606763808294529</c:v>
                </c:pt>
                <c:pt idx="423">
                  <c:v>-0.63611346674650693</c:v>
                </c:pt>
                <c:pt idx="424">
                  <c:v>0.34439715382442704</c:v>
                </c:pt>
                <c:pt idx="425">
                  <c:v>0.40091030553370177</c:v>
                </c:pt>
                <c:pt idx="426">
                  <c:v>-0.59746739310730934</c:v>
                </c:pt>
                <c:pt idx="427">
                  <c:v>-0.24448502543829442</c:v>
                </c:pt>
                <c:pt idx="428">
                  <c:v>0.47759650080932703</c:v>
                </c:pt>
                <c:pt idx="429">
                  <c:v>-0.43116562039504958</c:v>
                </c:pt>
                <c:pt idx="430">
                  <c:v>0.59914161815903277</c:v>
                </c:pt>
                <c:pt idx="431">
                  <c:v>0.10418684086674768</c:v>
                </c:pt>
                <c:pt idx="432">
                  <c:v>0.36484999292358911</c:v>
                </c:pt>
                <c:pt idx="433">
                  <c:v>0.93146649730637354</c:v>
                </c:pt>
                <c:pt idx="434">
                  <c:v>0.91545479655842743</c:v>
                </c:pt>
                <c:pt idx="435">
                  <c:v>0.93539144101398297</c:v>
                </c:pt>
                <c:pt idx="436">
                  <c:v>0.51972683116318596</c:v>
                </c:pt>
                <c:pt idx="437">
                  <c:v>-0.15457959869460836</c:v>
                </c:pt>
                <c:pt idx="438">
                  <c:v>0.36722173247729373</c:v>
                </c:pt>
                <c:pt idx="439">
                  <c:v>-0.51985785485511626</c:v>
                </c:pt>
                <c:pt idx="440">
                  <c:v>0.98233759076380567</c:v>
                </c:pt>
                <c:pt idx="441">
                  <c:v>-0.8383117838892995</c:v>
                </c:pt>
                <c:pt idx="442">
                  <c:v>0.52715795535134236</c:v>
                </c:pt>
                <c:pt idx="443">
                  <c:v>0.37978270636838474</c:v>
                </c:pt>
                <c:pt idx="444">
                  <c:v>0.59077427929712045</c:v>
                </c:pt>
                <c:pt idx="445">
                  <c:v>0.36140221007327789</c:v>
                </c:pt>
                <c:pt idx="446">
                  <c:v>0.6637534485731087</c:v>
                </c:pt>
                <c:pt idx="447">
                  <c:v>-0.85879214640863144</c:v>
                </c:pt>
                <c:pt idx="448">
                  <c:v>-0.88714175492672931</c:v>
                </c:pt>
                <c:pt idx="449">
                  <c:v>0.77134429566482399</c:v>
                </c:pt>
                <c:pt idx="450">
                  <c:v>0.4543494359441913</c:v>
                </c:pt>
                <c:pt idx="451">
                  <c:v>0.39828681414136669</c:v>
                </c:pt>
                <c:pt idx="452">
                  <c:v>0.58671455937517636</c:v>
                </c:pt>
                <c:pt idx="453">
                  <c:v>-0.98705302153535435</c:v>
                </c:pt>
                <c:pt idx="454">
                  <c:v>-0.85582078187655442</c:v>
                </c:pt>
                <c:pt idx="455">
                  <c:v>0.31659315459198689</c:v>
                </c:pt>
                <c:pt idx="456">
                  <c:v>-0.44522696851535715</c:v>
                </c:pt>
                <c:pt idx="457">
                  <c:v>0.15811404565140164</c:v>
                </c:pt>
                <c:pt idx="458">
                  <c:v>0.93435040920242196</c:v>
                </c:pt>
                <c:pt idx="459">
                  <c:v>4.1512090370590338E-2</c:v>
                </c:pt>
                <c:pt idx="460">
                  <c:v>0.61669442344789038</c:v>
                </c:pt>
                <c:pt idx="461">
                  <c:v>0.74778726807817697</c:v>
                </c:pt>
                <c:pt idx="462">
                  <c:v>0.38372606608896898</c:v>
                </c:pt>
                <c:pt idx="463">
                  <c:v>0.97117490217392555</c:v>
                </c:pt>
                <c:pt idx="464">
                  <c:v>-0.74688217372016119</c:v>
                </c:pt>
                <c:pt idx="465">
                  <c:v>0.46036360560756062</c:v>
                </c:pt>
                <c:pt idx="466">
                  <c:v>0.84313016854298017</c:v>
                </c:pt>
                <c:pt idx="467">
                  <c:v>0.98212927211020595</c:v>
                </c:pt>
                <c:pt idx="468">
                  <c:v>0.8868774307215066</c:v>
                </c:pt>
                <c:pt idx="469">
                  <c:v>3.1112802781419147E-2</c:v>
                </c:pt>
                <c:pt idx="470">
                  <c:v>-0.21705102808440935</c:v>
                </c:pt>
                <c:pt idx="471">
                  <c:v>1.9271452135678269E-2</c:v>
                </c:pt>
                <c:pt idx="472">
                  <c:v>-0.88282807771441973</c:v>
                </c:pt>
                <c:pt idx="473">
                  <c:v>0.81563344970005147</c:v>
                </c:pt>
                <c:pt idx="474">
                  <c:v>-0.15864625361612128</c:v>
                </c:pt>
                <c:pt idx="475">
                  <c:v>0.54681331149159318</c:v>
                </c:pt>
                <c:pt idx="476">
                  <c:v>-0.37367337391565081</c:v>
                </c:pt>
                <c:pt idx="477">
                  <c:v>6.0433721992418699E-2</c:v>
                </c:pt>
                <c:pt idx="478">
                  <c:v>0.94763781518125612</c:v>
                </c:pt>
                <c:pt idx="479">
                  <c:v>-0.1973361615385234</c:v>
                </c:pt>
                <c:pt idx="480">
                  <c:v>0.52429189125627507</c:v>
                </c:pt>
                <c:pt idx="481">
                  <c:v>0.18603070775942565</c:v>
                </c:pt>
                <c:pt idx="482">
                  <c:v>0.78138190707180377</c:v>
                </c:pt>
                <c:pt idx="483">
                  <c:v>-0.9571204396214259</c:v>
                </c:pt>
                <c:pt idx="484">
                  <c:v>0.6635750029581271</c:v>
                </c:pt>
                <c:pt idx="485">
                  <c:v>-0.5939586435604407</c:v>
                </c:pt>
                <c:pt idx="486">
                  <c:v>-7.9293893499077672E-2</c:v>
                </c:pt>
                <c:pt idx="487">
                  <c:v>-0.18693601406647642</c:v>
                </c:pt>
                <c:pt idx="488">
                  <c:v>-0.57445956952290089</c:v>
                </c:pt>
                <c:pt idx="489">
                  <c:v>0.57049313087506959</c:v>
                </c:pt>
                <c:pt idx="490">
                  <c:v>-0.1483620707824207</c:v>
                </c:pt>
                <c:pt idx="491">
                  <c:v>-0.80422715482949636</c:v>
                </c:pt>
                <c:pt idx="492">
                  <c:v>-0.24472999208914303</c:v>
                </c:pt>
                <c:pt idx="493">
                  <c:v>0.79693018450605346</c:v>
                </c:pt>
                <c:pt idx="494">
                  <c:v>0.77453698487795353</c:v>
                </c:pt>
                <c:pt idx="495">
                  <c:v>0.45972574904812147</c:v>
                </c:pt>
                <c:pt idx="496">
                  <c:v>0.91211301326561278</c:v>
                </c:pt>
                <c:pt idx="497">
                  <c:v>-6.4734052647940521E-2</c:v>
                </c:pt>
                <c:pt idx="498">
                  <c:v>0.36809379338397918</c:v>
                </c:pt>
                <c:pt idx="499">
                  <c:v>0.84654531120442722</c:v>
                </c:pt>
                <c:pt idx="500">
                  <c:v>-0.98424343844822926</c:v>
                </c:pt>
                <c:pt idx="501">
                  <c:v>0.58925766734970964</c:v>
                </c:pt>
                <c:pt idx="502">
                  <c:v>-0.87130544683596201</c:v>
                </c:pt>
                <c:pt idx="503">
                  <c:v>0.42478384831466021</c:v>
                </c:pt>
                <c:pt idx="504">
                  <c:v>-0.6191476559388831</c:v>
                </c:pt>
                <c:pt idx="505">
                  <c:v>0.26550820754646254</c:v>
                </c:pt>
                <c:pt idx="506">
                  <c:v>-0.69006106536097489</c:v>
                </c:pt>
                <c:pt idx="507">
                  <c:v>0.30803712672725414</c:v>
                </c:pt>
                <c:pt idx="508">
                  <c:v>0.52137002638642826</c:v>
                </c:pt>
                <c:pt idx="509">
                  <c:v>-0.86763416800743465</c:v>
                </c:pt>
                <c:pt idx="510">
                  <c:v>-0.64385757826284773</c:v>
                </c:pt>
                <c:pt idx="511">
                  <c:v>-0.8782427815415712</c:v>
                </c:pt>
                <c:pt idx="512">
                  <c:v>0.29137087006516849</c:v>
                </c:pt>
                <c:pt idx="513">
                  <c:v>-0.83387134898100679</c:v>
                </c:pt>
                <c:pt idx="514">
                  <c:v>0.56709915428819646</c:v>
                </c:pt>
                <c:pt idx="515">
                  <c:v>-0.87038334516549121</c:v>
                </c:pt>
                <c:pt idx="516">
                  <c:v>-0.43052395419612965</c:v>
                </c:pt>
                <c:pt idx="517">
                  <c:v>-0.42462590544326928</c:v>
                </c:pt>
                <c:pt idx="518">
                  <c:v>8.7393143243405635E-2</c:v>
                </c:pt>
                <c:pt idx="519">
                  <c:v>0.63962441226823508</c:v>
                </c:pt>
                <c:pt idx="520">
                  <c:v>-0.79561337075072869</c:v>
                </c:pt>
                <c:pt idx="521">
                  <c:v>-0.32755584544220873</c:v>
                </c:pt>
                <c:pt idx="522">
                  <c:v>0.62625225089503278</c:v>
                </c:pt>
                <c:pt idx="523">
                  <c:v>-1.3622044097615582E-2</c:v>
                </c:pt>
                <c:pt idx="524">
                  <c:v>0.36439573703905492</c:v>
                </c:pt>
                <c:pt idx="525">
                  <c:v>0.81778465693709723</c:v>
                </c:pt>
                <c:pt idx="526">
                  <c:v>0.98677994351589771</c:v>
                </c:pt>
                <c:pt idx="527">
                  <c:v>-0.73543918717084544</c:v>
                </c:pt>
                <c:pt idx="528">
                  <c:v>0.32179724510906649</c:v>
                </c:pt>
                <c:pt idx="529">
                  <c:v>0.5951923710932332</c:v>
                </c:pt>
                <c:pt idx="530">
                  <c:v>-4.3325071925983893E-2</c:v>
                </c:pt>
                <c:pt idx="531">
                  <c:v>0.15310968949384596</c:v>
                </c:pt>
                <c:pt idx="532">
                  <c:v>-0.89929668227284543</c:v>
                </c:pt>
                <c:pt idx="533">
                  <c:v>-0.62478779750589242</c:v>
                </c:pt>
                <c:pt idx="534">
                  <c:v>-0.22799752714965571</c:v>
                </c:pt>
                <c:pt idx="535">
                  <c:v>-0.50073425085061563</c:v>
                </c:pt>
                <c:pt idx="536">
                  <c:v>0.50850475573608889</c:v>
                </c:pt>
                <c:pt idx="537">
                  <c:v>-0.24590551596369781</c:v>
                </c:pt>
                <c:pt idx="538">
                  <c:v>0.99432713217204305</c:v>
                </c:pt>
                <c:pt idx="539">
                  <c:v>0.85248424041744553</c:v>
                </c:pt>
                <c:pt idx="540">
                  <c:v>6.7570064136254882E-2</c:v>
                </c:pt>
                <c:pt idx="541">
                  <c:v>0.15066809944652371</c:v>
                </c:pt>
                <c:pt idx="542">
                  <c:v>0.77840392266598246</c:v>
                </c:pt>
                <c:pt idx="543">
                  <c:v>-0.4798825955072259</c:v>
                </c:pt>
                <c:pt idx="544">
                  <c:v>0.77528583722224087</c:v>
                </c:pt>
                <c:pt idx="545">
                  <c:v>-0.32181636219102061</c:v>
                </c:pt>
                <c:pt idx="546">
                  <c:v>-0.54933843487147671</c:v>
                </c:pt>
                <c:pt idx="547">
                  <c:v>0.16114079427784511</c:v>
                </c:pt>
                <c:pt idx="548">
                  <c:v>-0.27415202590413945</c:v>
                </c:pt>
                <c:pt idx="549">
                  <c:v>0.3878340187882392</c:v>
                </c:pt>
                <c:pt idx="550">
                  <c:v>0.20503360384048452</c:v>
                </c:pt>
                <c:pt idx="551">
                  <c:v>-0.87528289209389398</c:v>
                </c:pt>
                <c:pt idx="552">
                  <c:v>-0.36472069009674901</c:v>
                </c:pt>
                <c:pt idx="553">
                  <c:v>0.36001472283481584</c:v>
                </c:pt>
                <c:pt idx="554">
                  <c:v>0.51413460916235465</c:v>
                </c:pt>
                <c:pt idx="555">
                  <c:v>-0.82412674464263835</c:v>
                </c:pt>
                <c:pt idx="556">
                  <c:v>-0.44648554856189415</c:v>
                </c:pt>
                <c:pt idx="557">
                  <c:v>0.32972528688474112</c:v>
                </c:pt>
                <c:pt idx="558">
                  <c:v>0.50855822024731712</c:v>
                </c:pt>
                <c:pt idx="559">
                  <c:v>-0.9790141015060676</c:v>
                </c:pt>
                <c:pt idx="560">
                  <c:v>0.19657433157148096</c:v>
                </c:pt>
                <c:pt idx="561">
                  <c:v>0.23830879790962012</c:v>
                </c:pt>
                <c:pt idx="562">
                  <c:v>-0.66875042968871079</c:v>
                </c:pt>
                <c:pt idx="563">
                  <c:v>0.25083300620553195</c:v>
                </c:pt>
                <c:pt idx="564">
                  <c:v>0.39248835482727817</c:v>
                </c:pt>
                <c:pt idx="565">
                  <c:v>0.40768648075699776</c:v>
                </c:pt>
                <c:pt idx="566">
                  <c:v>-0.96530571045963098</c:v>
                </c:pt>
                <c:pt idx="567">
                  <c:v>-9.4046346072287346E-3</c:v>
                </c:pt>
                <c:pt idx="568">
                  <c:v>-0.68332665981786889</c:v>
                </c:pt>
                <c:pt idx="569">
                  <c:v>0.95057747889677291</c:v>
                </c:pt>
                <c:pt idx="570">
                  <c:v>-0.28124852623193641</c:v>
                </c:pt>
                <c:pt idx="571">
                  <c:v>0.2044166079136287</c:v>
                </c:pt>
                <c:pt idx="572">
                  <c:v>0.24530452975116801</c:v>
                </c:pt>
                <c:pt idx="573">
                  <c:v>0.95683200817575997</c:v>
                </c:pt>
                <c:pt idx="574">
                  <c:v>-0.17424009647661753</c:v>
                </c:pt>
                <c:pt idx="575">
                  <c:v>-0.50682811180492449</c:v>
                </c:pt>
                <c:pt idx="576">
                  <c:v>-0.92321123577938002</c:v>
                </c:pt>
                <c:pt idx="577">
                  <c:v>0.91215048243629315</c:v>
                </c:pt>
                <c:pt idx="578">
                  <c:v>-0.86026856101317928</c:v>
                </c:pt>
                <c:pt idx="579">
                  <c:v>-0.15948004243958969</c:v>
                </c:pt>
                <c:pt idx="580">
                  <c:v>0.67783479856719175</c:v>
                </c:pt>
                <c:pt idx="581">
                  <c:v>0.59825166619725301</c:v>
                </c:pt>
                <c:pt idx="582">
                  <c:v>0.28108552263977771</c:v>
                </c:pt>
                <c:pt idx="583">
                  <c:v>-0.14972586926023346</c:v>
                </c:pt>
                <c:pt idx="584">
                  <c:v>0.71299584668553728</c:v>
                </c:pt>
                <c:pt idx="585">
                  <c:v>-9.511410557569433E-2</c:v>
                </c:pt>
                <c:pt idx="586">
                  <c:v>-1.8288321650844708E-2</c:v>
                </c:pt>
                <c:pt idx="587">
                  <c:v>0.2154871765098676</c:v>
                </c:pt>
                <c:pt idx="588">
                  <c:v>0.34771933642661557</c:v>
                </c:pt>
                <c:pt idx="589">
                  <c:v>0.52159937444783178</c:v>
                </c:pt>
                <c:pt idx="590">
                  <c:v>0.8601853706338356</c:v>
                </c:pt>
                <c:pt idx="591">
                  <c:v>0.29310256213067176</c:v>
                </c:pt>
                <c:pt idx="592">
                  <c:v>-0.89802432505295227</c:v>
                </c:pt>
                <c:pt idx="593">
                  <c:v>-9.9513205970470642E-2</c:v>
                </c:pt>
                <c:pt idx="594">
                  <c:v>-0.64357498653999068</c:v>
                </c:pt>
                <c:pt idx="595">
                  <c:v>0.58753721728019515</c:v>
                </c:pt>
                <c:pt idx="596">
                  <c:v>0.89730190524030684</c:v>
                </c:pt>
                <c:pt idx="597">
                  <c:v>-0.5211296978765052</c:v>
                </c:pt>
                <c:pt idx="598">
                  <c:v>0.86250694461074318</c:v>
                </c:pt>
                <c:pt idx="599">
                  <c:v>-0.99594973604527048</c:v>
                </c:pt>
                <c:pt idx="600">
                  <c:v>-0.78984712529513201</c:v>
                </c:pt>
                <c:pt idx="601">
                  <c:v>0.97145206333994905</c:v>
                </c:pt>
                <c:pt idx="602">
                  <c:v>0.89195230245438895</c:v>
                </c:pt>
                <c:pt idx="603">
                  <c:v>0.40976536560994847</c:v>
                </c:pt>
                <c:pt idx="604">
                  <c:v>-0.74517212925174126</c:v>
                </c:pt>
                <c:pt idx="605">
                  <c:v>-0.75703705929642484</c:v>
                </c:pt>
                <c:pt idx="606">
                  <c:v>-0.80058650862410574</c:v>
                </c:pt>
                <c:pt idx="607">
                  <c:v>0.32143846313092572</c:v>
                </c:pt>
                <c:pt idx="608">
                  <c:v>-0.2736437236326339</c:v>
                </c:pt>
                <c:pt idx="609">
                  <c:v>-0.67350552861397106</c:v>
                </c:pt>
                <c:pt idx="610">
                  <c:v>-0.35841596991058644</c:v>
                </c:pt>
                <c:pt idx="611">
                  <c:v>0.3315041322234249</c:v>
                </c:pt>
                <c:pt idx="612">
                  <c:v>-0.34774205289091586</c:v>
                </c:pt>
                <c:pt idx="613">
                  <c:v>1.365264356486029E-2</c:v>
                </c:pt>
                <c:pt idx="614">
                  <c:v>0.36510036585581362</c:v>
                </c:pt>
                <c:pt idx="615">
                  <c:v>0.9835150547380509</c:v>
                </c:pt>
                <c:pt idx="616">
                  <c:v>0.710987141915703</c:v>
                </c:pt>
                <c:pt idx="617">
                  <c:v>0.62743209978301362</c:v>
                </c:pt>
                <c:pt idx="618">
                  <c:v>-0.50115186202699546</c:v>
                </c:pt>
                <c:pt idx="619">
                  <c:v>0.27446531883552927</c:v>
                </c:pt>
                <c:pt idx="620">
                  <c:v>-0.12171785650655687</c:v>
                </c:pt>
                <c:pt idx="621">
                  <c:v>-0.74204567484177431</c:v>
                </c:pt>
                <c:pt idx="622">
                  <c:v>-0.65855608160803425</c:v>
                </c:pt>
                <c:pt idx="623">
                  <c:v>6.0390593349283872E-2</c:v>
                </c:pt>
                <c:pt idx="624">
                  <c:v>0.59819066055417247</c:v>
                </c:pt>
                <c:pt idx="625">
                  <c:v>-0.44197705912350171</c:v>
                </c:pt>
                <c:pt idx="626">
                  <c:v>-0.85509854083233039</c:v>
                </c:pt>
                <c:pt idx="627">
                  <c:v>-0.66327032083374138</c:v>
                </c:pt>
                <c:pt idx="628">
                  <c:v>0.88937707563911461</c:v>
                </c:pt>
                <c:pt idx="629">
                  <c:v>0.9866579682919443</c:v>
                </c:pt>
                <c:pt idx="630">
                  <c:v>0.70410345054143342</c:v>
                </c:pt>
                <c:pt idx="631">
                  <c:v>-0.37154060645414422</c:v>
                </c:pt>
                <c:pt idx="632">
                  <c:v>0.68654858202189128</c:v>
                </c:pt>
                <c:pt idx="633">
                  <c:v>-0.27685046633922705</c:v>
                </c:pt>
                <c:pt idx="634">
                  <c:v>-0.37319569318895374</c:v>
                </c:pt>
                <c:pt idx="635">
                  <c:v>0.72337412931724043</c:v>
                </c:pt>
                <c:pt idx="636">
                  <c:v>0.18169336829418659</c:v>
                </c:pt>
                <c:pt idx="637">
                  <c:v>-0.99165894710002234</c:v>
                </c:pt>
                <c:pt idx="638">
                  <c:v>0.59842471173569822</c:v>
                </c:pt>
                <c:pt idx="639">
                  <c:v>0.98502182101371716</c:v>
                </c:pt>
                <c:pt idx="640">
                  <c:v>0.29970882787313258</c:v>
                </c:pt>
                <c:pt idx="641">
                  <c:v>-0.75873869704870822</c:v>
                </c:pt>
                <c:pt idx="642">
                  <c:v>8.9939642839218958E-2</c:v>
                </c:pt>
                <c:pt idx="643">
                  <c:v>-0.7556809748923452</c:v>
                </c:pt>
                <c:pt idx="644">
                  <c:v>0.93897169823275028</c:v>
                </c:pt>
                <c:pt idx="645">
                  <c:v>-0.9333108893011719</c:v>
                </c:pt>
                <c:pt idx="646">
                  <c:v>-0.79088112345185735</c:v>
                </c:pt>
                <c:pt idx="647">
                  <c:v>-0.40510621549936476</c:v>
                </c:pt>
                <c:pt idx="648">
                  <c:v>-0.76762782715463485</c:v>
                </c:pt>
                <c:pt idx="649">
                  <c:v>0.17516930473103298</c:v>
                </c:pt>
                <c:pt idx="650">
                  <c:v>0.29401960160551432</c:v>
                </c:pt>
                <c:pt idx="651">
                  <c:v>0.21511912980116632</c:v>
                </c:pt>
                <c:pt idx="652">
                  <c:v>2.4687535608518552E-2</c:v>
                </c:pt>
                <c:pt idx="653">
                  <c:v>0.47510007048819292</c:v>
                </c:pt>
                <c:pt idx="654">
                  <c:v>-0.87142735490026024</c:v>
                </c:pt>
                <c:pt idx="655">
                  <c:v>-0.45471373214307187</c:v>
                </c:pt>
                <c:pt idx="656">
                  <c:v>-0.41585683583560074</c:v>
                </c:pt>
                <c:pt idx="657">
                  <c:v>-0.42168834934360855</c:v>
                </c:pt>
                <c:pt idx="658">
                  <c:v>-0.75533605797533854</c:v>
                </c:pt>
                <c:pt idx="659">
                  <c:v>0.79801200679999273</c:v>
                </c:pt>
                <c:pt idx="660">
                  <c:v>0.54359707191357698</c:v>
                </c:pt>
                <c:pt idx="661">
                  <c:v>-0.59241437003218289</c:v>
                </c:pt>
                <c:pt idx="662">
                  <c:v>-0.7204761752307498</c:v>
                </c:pt>
                <c:pt idx="663">
                  <c:v>-0.75834666907024517</c:v>
                </c:pt>
                <c:pt idx="664">
                  <c:v>0.41996781704093022</c:v>
                </c:pt>
                <c:pt idx="665">
                  <c:v>-0.65533584027119574</c:v>
                </c:pt>
                <c:pt idx="666">
                  <c:v>1.1108772496268848E-3</c:v>
                </c:pt>
                <c:pt idx="667">
                  <c:v>0.19702879465867174</c:v>
                </c:pt>
                <c:pt idx="668">
                  <c:v>0.28010558829964016</c:v>
                </c:pt>
                <c:pt idx="669">
                  <c:v>-8.6921330530254748E-2</c:v>
                </c:pt>
                <c:pt idx="670">
                  <c:v>0.17841826163194607</c:v>
                </c:pt>
                <c:pt idx="671">
                  <c:v>0.7500130988319853</c:v>
                </c:pt>
                <c:pt idx="672">
                  <c:v>-0.25365662732673133</c:v>
                </c:pt>
                <c:pt idx="673">
                  <c:v>0.65190589648980146</c:v>
                </c:pt>
                <c:pt idx="674">
                  <c:v>-1.8340215403594318E-2</c:v>
                </c:pt>
                <c:pt idx="675">
                  <c:v>0.90616983759828584</c:v>
                </c:pt>
                <c:pt idx="676">
                  <c:v>0.98288835627807458</c:v>
                </c:pt>
                <c:pt idx="677">
                  <c:v>0.42634687667978488</c:v>
                </c:pt>
                <c:pt idx="678">
                  <c:v>0.18935040534891434</c:v>
                </c:pt>
                <c:pt idx="679">
                  <c:v>0.41041776888268844</c:v>
                </c:pt>
                <c:pt idx="680">
                  <c:v>-2.2262420475533062E-2</c:v>
                </c:pt>
                <c:pt idx="681">
                  <c:v>0.74330119452441057</c:v>
                </c:pt>
                <c:pt idx="682">
                  <c:v>-0.71672531188355126</c:v>
                </c:pt>
                <c:pt idx="683">
                  <c:v>-6.7729056392674458E-2</c:v>
                </c:pt>
                <c:pt idx="684">
                  <c:v>0.43061683340193979</c:v>
                </c:pt>
                <c:pt idx="685">
                  <c:v>0.18922947465484596</c:v>
                </c:pt>
                <c:pt idx="686">
                  <c:v>-0.8923708759662965</c:v>
                </c:pt>
                <c:pt idx="687">
                  <c:v>0.10033961789820744</c:v>
                </c:pt>
                <c:pt idx="688">
                  <c:v>0.66277210059236635</c:v>
                </c:pt>
                <c:pt idx="689">
                  <c:v>-0.87309560970609934</c:v>
                </c:pt>
                <c:pt idx="690">
                  <c:v>0.77335583686732168</c:v>
                </c:pt>
                <c:pt idx="691">
                  <c:v>0.11684601712118758</c:v>
                </c:pt>
                <c:pt idx="692">
                  <c:v>-0.12261761513355496</c:v>
                </c:pt>
                <c:pt idx="693">
                  <c:v>-0.67318534374706074</c:v>
                </c:pt>
                <c:pt idx="694">
                  <c:v>-9.6914242078022461E-2</c:v>
                </c:pt>
                <c:pt idx="695">
                  <c:v>0.496545992674019</c:v>
                </c:pt>
                <c:pt idx="696">
                  <c:v>0.25672688191934712</c:v>
                </c:pt>
                <c:pt idx="697">
                  <c:v>-0.16810358402413206</c:v>
                </c:pt>
                <c:pt idx="698">
                  <c:v>-0.19163412471333574</c:v>
                </c:pt>
                <c:pt idx="699">
                  <c:v>-0.96414764505988049</c:v>
                </c:pt>
                <c:pt idx="700">
                  <c:v>-0.66769571446988363</c:v>
                </c:pt>
                <c:pt idx="701">
                  <c:v>-0.40250618991290099</c:v>
                </c:pt>
                <c:pt idx="702">
                  <c:v>-0.98195907613514577</c:v>
                </c:pt>
                <c:pt idx="703">
                  <c:v>0.88999381050624726</c:v>
                </c:pt>
                <c:pt idx="704">
                  <c:v>0.86940099245591251</c:v>
                </c:pt>
                <c:pt idx="705">
                  <c:v>-0.56018967414535226</c:v>
                </c:pt>
                <c:pt idx="706">
                  <c:v>0.45279518957994469</c:v>
                </c:pt>
                <c:pt idx="707">
                  <c:v>-0.28843295213721754</c:v>
                </c:pt>
                <c:pt idx="708">
                  <c:v>0.36008181682845009</c:v>
                </c:pt>
                <c:pt idx="709">
                  <c:v>0.50956998943268994</c:v>
                </c:pt>
                <c:pt idx="710">
                  <c:v>0.30272646062901409</c:v>
                </c:pt>
                <c:pt idx="711">
                  <c:v>0.96604175707879003</c:v>
                </c:pt>
                <c:pt idx="712">
                  <c:v>-0.50414414050604717</c:v>
                </c:pt>
                <c:pt idx="713">
                  <c:v>-0.64738836572372982</c:v>
                </c:pt>
                <c:pt idx="714">
                  <c:v>1.42013336764375E-2</c:v>
                </c:pt>
                <c:pt idx="715">
                  <c:v>-0.69368343463242277</c:v>
                </c:pt>
                <c:pt idx="716">
                  <c:v>0.67145631774601267</c:v>
                </c:pt>
                <c:pt idx="717">
                  <c:v>0.94003607449323967</c:v>
                </c:pt>
                <c:pt idx="718">
                  <c:v>-0.9043250984058353</c:v>
                </c:pt>
                <c:pt idx="719">
                  <c:v>-0.71269757649522658</c:v>
                </c:pt>
                <c:pt idx="720">
                  <c:v>0.73720857819468866</c:v>
                </c:pt>
                <c:pt idx="721">
                  <c:v>0.67329405443160795</c:v>
                </c:pt>
                <c:pt idx="722">
                  <c:v>0.41142225103390828</c:v>
                </c:pt>
                <c:pt idx="723">
                  <c:v>-0.36228554466137486</c:v>
                </c:pt>
                <c:pt idx="724">
                  <c:v>2.8211373634404735E-2</c:v>
                </c:pt>
                <c:pt idx="725">
                  <c:v>-0.41629352403658193</c:v>
                </c:pt>
                <c:pt idx="726">
                  <c:v>-0.90145775150984409</c:v>
                </c:pt>
                <c:pt idx="727">
                  <c:v>-9.4586511093786685E-2</c:v>
                </c:pt>
                <c:pt idx="728">
                  <c:v>-8.9303792763532064E-2</c:v>
                </c:pt>
                <c:pt idx="729">
                  <c:v>0.2233147239175608</c:v>
                </c:pt>
                <c:pt idx="730">
                  <c:v>0.66963722531402592</c:v>
                </c:pt>
                <c:pt idx="731">
                  <c:v>4.0245270417236467E-2</c:v>
                </c:pt>
                <c:pt idx="732">
                  <c:v>0.72772028409074752</c:v>
                </c:pt>
                <c:pt idx="733">
                  <c:v>-0.3635238733457955</c:v>
                </c:pt>
                <c:pt idx="734">
                  <c:v>-0.5049713250459591</c:v>
                </c:pt>
                <c:pt idx="735">
                  <c:v>0.78019230576293097</c:v>
                </c:pt>
                <c:pt idx="736">
                  <c:v>0.85612272355222863</c:v>
                </c:pt>
                <c:pt idx="737">
                  <c:v>0.93732601777966651</c:v>
                </c:pt>
                <c:pt idx="738">
                  <c:v>-0.2010106185330065</c:v>
                </c:pt>
                <c:pt idx="739">
                  <c:v>-0.66450144880638917</c:v>
                </c:pt>
                <c:pt idx="740">
                  <c:v>0.35362847711762302</c:v>
                </c:pt>
                <c:pt idx="741">
                  <c:v>-0.43827928720997833</c:v>
                </c:pt>
                <c:pt idx="742">
                  <c:v>-0.74213154772785228</c:v>
                </c:pt>
                <c:pt idx="743">
                  <c:v>7.1230613919400776E-2</c:v>
                </c:pt>
                <c:pt idx="744">
                  <c:v>-0.62645271553665549</c:v>
                </c:pt>
                <c:pt idx="745">
                  <c:v>-0.59780592115613929</c:v>
                </c:pt>
                <c:pt idx="746">
                  <c:v>0.6065945342916339</c:v>
                </c:pt>
                <c:pt idx="747">
                  <c:v>-0.27854519877936057</c:v>
                </c:pt>
                <c:pt idx="748">
                  <c:v>4.4563554170536479E-2</c:v>
                </c:pt>
                <c:pt idx="749">
                  <c:v>0.79982610653173825</c:v>
                </c:pt>
                <c:pt idx="750">
                  <c:v>-0.38744112825464416</c:v>
                </c:pt>
                <c:pt idx="751">
                  <c:v>9.8150503490588514E-2</c:v>
                </c:pt>
                <c:pt idx="752">
                  <c:v>0.96544567964304506</c:v>
                </c:pt>
                <c:pt idx="753">
                  <c:v>-0.23445604939466369</c:v>
                </c:pt>
                <c:pt idx="754">
                  <c:v>-0.17466296305230955</c:v>
                </c:pt>
                <c:pt idx="755">
                  <c:v>0.43001547497526715</c:v>
                </c:pt>
                <c:pt idx="756">
                  <c:v>0.60667388560057578</c:v>
                </c:pt>
                <c:pt idx="757">
                  <c:v>-0.46999140012835805</c:v>
                </c:pt>
                <c:pt idx="758">
                  <c:v>0.34896772659925923</c:v>
                </c:pt>
                <c:pt idx="759">
                  <c:v>5.9832730944707313E-2</c:v>
                </c:pt>
                <c:pt idx="760">
                  <c:v>9.3176344235016861E-2</c:v>
                </c:pt>
                <c:pt idx="761">
                  <c:v>-0.89193167927348416</c:v>
                </c:pt>
                <c:pt idx="762">
                  <c:v>-0.74555537178002029</c:v>
                </c:pt>
                <c:pt idx="763">
                  <c:v>-0.84107032553997363</c:v>
                </c:pt>
                <c:pt idx="764">
                  <c:v>-0.97780245097283602</c:v>
                </c:pt>
                <c:pt idx="765">
                  <c:v>-0.90301402949716358</c:v>
                </c:pt>
                <c:pt idx="766">
                  <c:v>-0.47673403876680021</c:v>
                </c:pt>
                <c:pt idx="767">
                  <c:v>0.40733191829200655</c:v>
                </c:pt>
                <c:pt idx="768">
                  <c:v>-0.85544667692714116</c:v>
                </c:pt>
                <c:pt idx="769">
                  <c:v>-0.14673169565811639</c:v>
                </c:pt>
                <c:pt idx="770">
                  <c:v>0.76224838535834394</c:v>
                </c:pt>
                <c:pt idx="771">
                  <c:v>-0.81602456449762273</c:v>
                </c:pt>
                <c:pt idx="772">
                  <c:v>-0.64300278955092005</c:v>
                </c:pt>
                <c:pt idx="773">
                  <c:v>0.46490502540602208</c:v>
                </c:pt>
                <c:pt idx="774">
                  <c:v>0.97143522017592532</c:v>
                </c:pt>
                <c:pt idx="775">
                  <c:v>0.40235017555472874</c:v>
                </c:pt>
                <c:pt idx="776">
                  <c:v>-0.78780352790935937</c:v>
                </c:pt>
                <c:pt idx="777">
                  <c:v>0.13491156678787619</c:v>
                </c:pt>
                <c:pt idx="778">
                  <c:v>-4.9738143382614064E-2</c:v>
                </c:pt>
                <c:pt idx="779">
                  <c:v>-8.7106628792336327E-2</c:v>
                </c:pt>
                <c:pt idx="780">
                  <c:v>0.96826043459081657</c:v>
                </c:pt>
                <c:pt idx="781">
                  <c:v>-0.2129901293958063</c:v>
                </c:pt>
                <c:pt idx="782">
                  <c:v>0.98719128813811641</c:v>
                </c:pt>
                <c:pt idx="783">
                  <c:v>-0.28894973707774363</c:v>
                </c:pt>
                <c:pt idx="784">
                  <c:v>0.82099249297582544</c:v>
                </c:pt>
                <c:pt idx="785">
                  <c:v>-0.85953912901045082</c:v>
                </c:pt>
                <c:pt idx="786">
                  <c:v>-0.35482450811750876</c:v>
                </c:pt>
                <c:pt idx="787">
                  <c:v>0.535080070576474</c:v>
                </c:pt>
                <c:pt idx="788">
                  <c:v>-0.25909047286927955</c:v>
                </c:pt>
                <c:pt idx="789">
                  <c:v>1.6206171335702457E-2</c:v>
                </c:pt>
                <c:pt idx="790">
                  <c:v>-0.51534157779183132</c:v>
                </c:pt>
                <c:pt idx="791">
                  <c:v>-0.78926336939252395</c:v>
                </c:pt>
                <c:pt idx="792">
                  <c:v>0.37418673581471706</c:v>
                </c:pt>
                <c:pt idx="793">
                  <c:v>-0.79044117707200168</c:v>
                </c:pt>
                <c:pt idx="794">
                  <c:v>-0.52094045838622582</c:v>
                </c:pt>
                <c:pt idx="795">
                  <c:v>0.46001510390292299</c:v>
                </c:pt>
                <c:pt idx="796">
                  <c:v>0.87891428514576475</c:v>
                </c:pt>
                <c:pt idx="797">
                  <c:v>-0.81759997322431066</c:v>
                </c:pt>
                <c:pt idx="798">
                  <c:v>0.4922969072052803</c:v>
                </c:pt>
                <c:pt idx="799">
                  <c:v>0.65317747403647131</c:v>
                </c:pt>
                <c:pt idx="800">
                  <c:v>2.3104449984610476E-2</c:v>
                </c:pt>
                <c:pt idx="801">
                  <c:v>-0.96688266655759958</c:v>
                </c:pt>
                <c:pt idx="802">
                  <c:v>0.71415763238816221</c:v>
                </c:pt>
                <c:pt idx="803">
                  <c:v>-0.21521393064977179</c:v>
                </c:pt>
                <c:pt idx="804">
                  <c:v>-0.32127528016940166</c:v>
                </c:pt>
                <c:pt idx="805">
                  <c:v>-0.21051890471799473</c:v>
                </c:pt>
                <c:pt idx="806">
                  <c:v>0.34449367844870027</c:v>
                </c:pt>
                <c:pt idx="807">
                  <c:v>0.58739551663131584</c:v>
                </c:pt>
                <c:pt idx="808">
                  <c:v>0.47980626209984845</c:v>
                </c:pt>
                <c:pt idx="809">
                  <c:v>0.16133051797760478</c:v>
                </c:pt>
                <c:pt idx="810">
                  <c:v>-2.3187885420027143E-2</c:v>
                </c:pt>
                <c:pt idx="811">
                  <c:v>-0.4448109349686884</c:v>
                </c:pt>
                <c:pt idx="812">
                  <c:v>-0.13787182735392656</c:v>
                </c:pt>
                <c:pt idx="813">
                  <c:v>-0.36338151274546737</c:v>
                </c:pt>
                <c:pt idx="814">
                  <c:v>0.97043988866085407</c:v>
                </c:pt>
                <c:pt idx="815">
                  <c:v>0.79625934957134725</c:v>
                </c:pt>
                <c:pt idx="816">
                  <c:v>9.8125933214610273E-2</c:v>
                </c:pt>
                <c:pt idx="817">
                  <c:v>-0.18646710398995947</c:v>
                </c:pt>
                <c:pt idx="818">
                  <c:v>0.52559951117485282</c:v>
                </c:pt>
                <c:pt idx="819">
                  <c:v>-5.8721234054555316E-2</c:v>
                </c:pt>
                <c:pt idx="820">
                  <c:v>-5.0705206958470139E-3</c:v>
                </c:pt>
                <c:pt idx="821">
                  <c:v>0.47837887787788969</c:v>
                </c:pt>
                <c:pt idx="822">
                  <c:v>0.67000364368309362</c:v>
                </c:pt>
                <c:pt idx="823">
                  <c:v>0.24382072934955223</c:v>
                </c:pt>
                <c:pt idx="824">
                  <c:v>-0.33083802729242096</c:v>
                </c:pt>
                <c:pt idx="825">
                  <c:v>0.93740314874368069</c:v>
                </c:pt>
                <c:pt idx="826">
                  <c:v>0.11632214811929287</c:v>
                </c:pt>
                <c:pt idx="827">
                  <c:v>-0.93854311707201643</c:v>
                </c:pt>
                <c:pt idx="828">
                  <c:v>-0.30458131520609388</c:v>
                </c:pt>
                <c:pt idx="829">
                  <c:v>-0.74131033431417293</c:v>
                </c:pt>
                <c:pt idx="830">
                  <c:v>-0.34814954150315791</c:v>
                </c:pt>
                <c:pt idx="831">
                  <c:v>0.21769029065295165</c:v>
                </c:pt>
                <c:pt idx="832">
                  <c:v>0.59299349081410835</c:v>
                </c:pt>
                <c:pt idx="833">
                  <c:v>-0.93837989365479757</c:v>
                </c:pt>
                <c:pt idx="834">
                  <c:v>-0.75817091795027847</c:v>
                </c:pt>
                <c:pt idx="835">
                  <c:v>8.8613861362711432E-2</c:v>
                </c:pt>
                <c:pt idx="836">
                  <c:v>-0.28861694301281604</c:v>
                </c:pt>
                <c:pt idx="837">
                  <c:v>-0.83015483875978768</c:v>
                </c:pt>
                <c:pt idx="838">
                  <c:v>-0.19168906267441765</c:v>
                </c:pt>
                <c:pt idx="839">
                  <c:v>-0.76438363032414691</c:v>
                </c:pt>
                <c:pt idx="840">
                  <c:v>0.48643235494164783</c:v>
                </c:pt>
                <c:pt idx="841">
                  <c:v>-0.78599275944778002</c:v>
                </c:pt>
                <c:pt idx="842">
                  <c:v>0.11946490860288006</c:v>
                </c:pt>
                <c:pt idx="843">
                  <c:v>0.53909375619792943</c:v>
                </c:pt>
                <c:pt idx="844">
                  <c:v>0.9901297725732161</c:v>
                </c:pt>
                <c:pt idx="845">
                  <c:v>3.4015096345580975E-2</c:v>
                </c:pt>
                <c:pt idx="846">
                  <c:v>0.86752935493545635</c:v>
                </c:pt>
                <c:pt idx="847">
                  <c:v>0.15603863721482392</c:v>
                </c:pt>
                <c:pt idx="848">
                  <c:v>-0.82968615557870251</c:v>
                </c:pt>
                <c:pt idx="849">
                  <c:v>-0.44902243622176052</c:v>
                </c:pt>
                <c:pt idx="850">
                  <c:v>0.37491591682633763</c:v>
                </c:pt>
                <c:pt idx="851">
                  <c:v>-8.0712517005528062E-2</c:v>
                </c:pt>
                <c:pt idx="852">
                  <c:v>0.54401578660313832</c:v>
                </c:pt>
                <c:pt idx="853">
                  <c:v>-0.75091439489100531</c:v>
                </c:pt>
                <c:pt idx="854">
                  <c:v>-0.94833862586732809</c:v>
                </c:pt>
                <c:pt idx="855">
                  <c:v>0.94802513289045076</c:v>
                </c:pt>
                <c:pt idx="856">
                  <c:v>-0.62848024639536426</c:v>
                </c:pt>
                <c:pt idx="857">
                  <c:v>0.62966554773446681</c:v>
                </c:pt>
                <c:pt idx="858">
                  <c:v>-0.77350895119643948</c:v>
                </c:pt>
                <c:pt idx="859">
                  <c:v>-0.56772179940802259</c:v>
                </c:pt>
                <c:pt idx="860">
                  <c:v>0.2462213349439375</c:v>
                </c:pt>
                <c:pt idx="861">
                  <c:v>-1.0349129811501934E-2</c:v>
                </c:pt>
                <c:pt idx="862">
                  <c:v>0.98235502724115054</c:v>
                </c:pt>
                <c:pt idx="863">
                  <c:v>-0.4783324744727675</c:v>
                </c:pt>
                <c:pt idx="864">
                  <c:v>-0.28458721580221136</c:v>
                </c:pt>
                <c:pt idx="865">
                  <c:v>-5.4932516501584372E-2</c:v>
                </c:pt>
                <c:pt idx="866">
                  <c:v>-0.86603813441065824</c:v>
                </c:pt>
                <c:pt idx="867">
                  <c:v>0.23556110027441068</c:v>
                </c:pt>
                <c:pt idx="868">
                  <c:v>-0.37708595625484409</c:v>
                </c:pt>
                <c:pt idx="869">
                  <c:v>0.10881662907973233</c:v>
                </c:pt>
                <c:pt idx="870">
                  <c:v>-0.43953285631259509</c:v>
                </c:pt>
                <c:pt idx="871">
                  <c:v>-0.50162477022681973</c:v>
                </c:pt>
                <c:pt idx="872">
                  <c:v>0.39759780740551087</c:v>
                </c:pt>
                <c:pt idx="873">
                  <c:v>0.94218431025489702</c:v>
                </c:pt>
                <c:pt idx="874">
                  <c:v>0.55129174783229518</c:v>
                </c:pt>
                <c:pt idx="875">
                  <c:v>-0.43742567407596544</c:v>
                </c:pt>
                <c:pt idx="876">
                  <c:v>0.22377434963435361</c:v>
                </c:pt>
                <c:pt idx="877">
                  <c:v>-0.40670588768614513</c:v>
                </c:pt>
                <c:pt idx="878">
                  <c:v>-0.34496184642163819</c:v>
                </c:pt>
                <c:pt idx="879">
                  <c:v>0.30435310572767826</c:v>
                </c:pt>
                <c:pt idx="880">
                  <c:v>-0.49636135513445012</c:v>
                </c:pt>
                <c:pt idx="881">
                  <c:v>-0.59125591433330382</c:v>
                </c:pt>
                <c:pt idx="882">
                  <c:v>0.86111046479299058</c:v>
                </c:pt>
                <c:pt idx="883">
                  <c:v>0.84582283576173767</c:v>
                </c:pt>
                <c:pt idx="884">
                  <c:v>-0.14040969578111806</c:v>
                </c:pt>
                <c:pt idx="885">
                  <c:v>-0.15182733508076351</c:v>
                </c:pt>
                <c:pt idx="886">
                  <c:v>0.47663459047415713</c:v>
                </c:pt>
                <c:pt idx="887">
                  <c:v>0.80757296675181411</c:v>
                </c:pt>
                <c:pt idx="888">
                  <c:v>0.31172739599938404</c:v>
                </c:pt>
                <c:pt idx="889">
                  <c:v>-0.58951230379178376</c:v>
                </c:pt>
                <c:pt idx="890">
                  <c:v>0.31284917109259447</c:v>
                </c:pt>
                <c:pt idx="891">
                  <c:v>-0.61467408107186805</c:v>
                </c:pt>
                <c:pt idx="892">
                  <c:v>-0.83635996871539486</c:v>
                </c:pt>
                <c:pt idx="893">
                  <c:v>-0.58556806662428373</c:v>
                </c:pt>
                <c:pt idx="894">
                  <c:v>0.93945985609186455</c:v>
                </c:pt>
                <c:pt idx="895">
                  <c:v>-0.40052340274042009</c:v>
                </c:pt>
                <c:pt idx="896">
                  <c:v>-0.24414900357245273</c:v>
                </c:pt>
                <c:pt idx="897">
                  <c:v>-6.424186256744524E-2</c:v>
                </c:pt>
                <c:pt idx="898">
                  <c:v>0.50029634667613143</c:v>
                </c:pt>
                <c:pt idx="899">
                  <c:v>0.31627744302804817</c:v>
                </c:pt>
                <c:pt idx="900">
                  <c:v>9.2754412194847813E-2</c:v>
                </c:pt>
                <c:pt idx="901">
                  <c:v>-0.85636084825014835</c:v>
                </c:pt>
                <c:pt idx="902">
                  <c:v>0.49773384078429905</c:v>
                </c:pt>
                <c:pt idx="903">
                  <c:v>-0.1265302498353631</c:v>
                </c:pt>
                <c:pt idx="904">
                  <c:v>0.39336042444173458</c:v>
                </c:pt>
                <c:pt idx="905">
                  <c:v>0.71021728500226522</c:v>
                </c:pt>
                <c:pt idx="906">
                  <c:v>0.7541977850893391</c:v>
                </c:pt>
                <c:pt idx="907">
                  <c:v>0.32331476518919122</c:v>
                </c:pt>
                <c:pt idx="908">
                  <c:v>0.33743256454919868</c:v>
                </c:pt>
                <c:pt idx="909">
                  <c:v>0.48581596714645214</c:v>
                </c:pt>
                <c:pt idx="910">
                  <c:v>-0.90011376810124832</c:v>
                </c:pt>
                <c:pt idx="911">
                  <c:v>-0.32192284908448654</c:v>
                </c:pt>
                <c:pt idx="912">
                  <c:v>8.2131451784756671E-2</c:v>
                </c:pt>
                <c:pt idx="913">
                  <c:v>6.3708614738451796E-2</c:v>
                </c:pt>
                <c:pt idx="914">
                  <c:v>-0.69338395066120362</c:v>
                </c:pt>
                <c:pt idx="915">
                  <c:v>0.26041497625810694</c:v>
                </c:pt>
                <c:pt idx="916">
                  <c:v>0.20713428535261791</c:v>
                </c:pt>
                <c:pt idx="917">
                  <c:v>0.49891738779538009</c:v>
                </c:pt>
                <c:pt idx="918">
                  <c:v>0.27605173368762448</c:v>
                </c:pt>
                <c:pt idx="919">
                  <c:v>-0.86349336430066104</c:v>
                </c:pt>
                <c:pt idx="920">
                  <c:v>-5.8230378655903747E-2</c:v>
                </c:pt>
                <c:pt idx="921">
                  <c:v>0.5590277249009532</c:v>
                </c:pt>
                <c:pt idx="922">
                  <c:v>0.60167037950183921</c:v>
                </c:pt>
                <c:pt idx="923">
                  <c:v>-0.8748873526171852</c:v>
                </c:pt>
                <c:pt idx="924">
                  <c:v>0.57890648396610556</c:v>
                </c:pt>
                <c:pt idx="925">
                  <c:v>-7.6204214454414387E-2</c:v>
                </c:pt>
                <c:pt idx="926">
                  <c:v>-0.88879028061368315</c:v>
                </c:pt>
                <c:pt idx="927">
                  <c:v>7.9025289864340209E-2</c:v>
                </c:pt>
                <c:pt idx="928">
                  <c:v>-0.67513261414611359</c:v>
                </c:pt>
                <c:pt idx="929">
                  <c:v>0.89288365594233232</c:v>
                </c:pt>
                <c:pt idx="930">
                  <c:v>-0.56900265803849925</c:v>
                </c:pt>
                <c:pt idx="931">
                  <c:v>-0.52030539815903531</c:v>
                </c:pt>
                <c:pt idx="932">
                  <c:v>-4.8849711514661331E-2</c:v>
                </c:pt>
                <c:pt idx="933">
                  <c:v>0.11589315474229367</c:v>
                </c:pt>
                <c:pt idx="934">
                  <c:v>-0.21412232551969379</c:v>
                </c:pt>
                <c:pt idx="935">
                  <c:v>-0.93884290838051943</c:v>
                </c:pt>
                <c:pt idx="936">
                  <c:v>0.91471105925193985</c:v>
                </c:pt>
                <c:pt idx="937">
                  <c:v>-0.53190499281666637</c:v>
                </c:pt>
                <c:pt idx="938">
                  <c:v>-0.82992273197126964</c:v>
                </c:pt>
                <c:pt idx="939">
                  <c:v>0.94927637182000368</c:v>
                </c:pt>
                <c:pt idx="940">
                  <c:v>-0.70100191084481134</c:v>
                </c:pt>
                <c:pt idx="941">
                  <c:v>-0.69120713362912922</c:v>
                </c:pt>
                <c:pt idx="942">
                  <c:v>0.75752904209582606</c:v>
                </c:pt>
                <c:pt idx="943">
                  <c:v>0.65426038254742558</c:v>
                </c:pt>
                <c:pt idx="944">
                  <c:v>0.10949189243571444</c:v>
                </c:pt>
                <c:pt idx="945">
                  <c:v>0.35269981339629441</c:v>
                </c:pt>
                <c:pt idx="946">
                  <c:v>-0.14493070452207957</c:v>
                </c:pt>
                <c:pt idx="947">
                  <c:v>0.35202017915191175</c:v>
                </c:pt>
                <c:pt idx="948">
                  <c:v>0.57017262347472752</c:v>
                </c:pt>
                <c:pt idx="949">
                  <c:v>0.83823724617257422</c:v>
                </c:pt>
                <c:pt idx="950">
                  <c:v>0.35561720002470887</c:v>
                </c:pt>
                <c:pt idx="951">
                  <c:v>-0.17795990104944148</c:v>
                </c:pt>
                <c:pt idx="952">
                  <c:v>0.47507038613330699</c:v>
                </c:pt>
                <c:pt idx="953">
                  <c:v>-0.37224199202039632</c:v>
                </c:pt>
                <c:pt idx="954">
                  <c:v>-0.26193766268421559</c:v>
                </c:pt>
                <c:pt idx="955">
                  <c:v>0.43902075906701632</c:v>
                </c:pt>
                <c:pt idx="956">
                  <c:v>0.87268259114089375</c:v>
                </c:pt>
                <c:pt idx="957">
                  <c:v>-0.25323142092343542</c:v>
                </c:pt>
                <c:pt idx="958">
                  <c:v>-0.58192457393195296</c:v>
                </c:pt>
                <c:pt idx="959">
                  <c:v>0.12259008804300064</c:v>
                </c:pt>
                <c:pt idx="960">
                  <c:v>0.42742828084022788</c:v>
                </c:pt>
                <c:pt idx="961">
                  <c:v>0.76765974800788062</c:v>
                </c:pt>
                <c:pt idx="962">
                  <c:v>0.78020227618274718</c:v>
                </c:pt>
                <c:pt idx="963">
                  <c:v>-0.24305805071485809</c:v>
                </c:pt>
                <c:pt idx="964">
                  <c:v>-0.20475513296007675</c:v>
                </c:pt>
                <c:pt idx="965">
                  <c:v>-0.96569546013275809</c:v>
                </c:pt>
                <c:pt idx="966">
                  <c:v>4.5079216164681357E-2</c:v>
                </c:pt>
                <c:pt idx="967">
                  <c:v>-0.6783595175983459</c:v>
                </c:pt>
                <c:pt idx="968">
                  <c:v>-0.89990071968481278</c:v>
                </c:pt>
                <c:pt idx="969">
                  <c:v>-0.19594009678938384</c:v>
                </c:pt>
                <c:pt idx="970">
                  <c:v>0.8181212425223654</c:v>
                </c:pt>
                <c:pt idx="971">
                  <c:v>-0.93724015877675382</c:v>
                </c:pt>
                <c:pt idx="972">
                  <c:v>0.65934597661539995</c:v>
                </c:pt>
                <c:pt idx="973">
                  <c:v>0.94630744520549115</c:v>
                </c:pt>
                <c:pt idx="974">
                  <c:v>-0.54034248749475911</c:v>
                </c:pt>
                <c:pt idx="975">
                  <c:v>0.35908745678550424</c:v>
                </c:pt>
                <c:pt idx="976">
                  <c:v>0.13855613967271929</c:v>
                </c:pt>
                <c:pt idx="977">
                  <c:v>-0.17491678153412438</c:v>
                </c:pt>
                <c:pt idx="978">
                  <c:v>0.25695879012159661</c:v>
                </c:pt>
                <c:pt idx="979">
                  <c:v>-0.77706935659501819</c:v>
                </c:pt>
                <c:pt idx="980">
                  <c:v>-0.3126301409836052</c:v>
                </c:pt>
                <c:pt idx="981">
                  <c:v>-0.34679473306710551</c:v>
                </c:pt>
                <c:pt idx="982">
                  <c:v>0.24255130132134761</c:v>
                </c:pt>
                <c:pt idx="983">
                  <c:v>0.20436004310973299</c:v>
                </c:pt>
                <c:pt idx="984">
                  <c:v>9.428225747342811E-2</c:v>
                </c:pt>
                <c:pt idx="985">
                  <c:v>-0.59459784407043248</c:v>
                </c:pt>
                <c:pt idx="986">
                  <c:v>-0.17551602318178783</c:v>
                </c:pt>
                <c:pt idx="987">
                  <c:v>0.64129298728243578</c:v>
                </c:pt>
                <c:pt idx="988">
                  <c:v>-0.88231291245227639</c:v>
                </c:pt>
                <c:pt idx="989">
                  <c:v>-0.91612175447521049</c:v>
                </c:pt>
                <c:pt idx="990">
                  <c:v>-0.19260815700545209</c:v>
                </c:pt>
                <c:pt idx="991">
                  <c:v>-0.1189265832093831</c:v>
                </c:pt>
                <c:pt idx="992">
                  <c:v>-0.27815682669151687</c:v>
                </c:pt>
                <c:pt idx="993">
                  <c:v>-0.67144396794782835</c:v>
                </c:pt>
                <c:pt idx="994">
                  <c:v>-0.25549400395610888</c:v>
                </c:pt>
                <c:pt idx="995">
                  <c:v>-0.3032770484370344</c:v>
                </c:pt>
                <c:pt idx="996">
                  <c:v>9.6848604338531263E-2</c:v>
                </c:pt>
                <c:pt idx="997">
                  <c:v>0.48285038776965239</c:v>
                </c:pt>
                <c:pt idx="998">
                  <c:v>0.71714673798571793</c:v>
                </c:pt>
                <c:pt idx="999">
                  <c:v>0.26855999783461293</c:v>
                </c:pt>
              </c:numCache>
            </c:numRef>
          </c:xVal>
          <c:yVal>
            <c:numRef>
              <c:f>'Q6-MonteCarloSim'!$D$6:$D$1005</c:f>
              <c:numCache>
                <c:formatCode>General</c:formatCode>
                <c:ptCount val="1000"/>
                <c:pt idx="0">
                  <c:v>0.92882496917276636</c:v>
                </c:pt>
                <c:pt idx="1">
                  <c:v>-0.15055685943810126</c:v>
                </c:pt>
                <c:pt idx="2">
                  <c:v>0.92007365187153312</c:v>
                </c:pt>
                <c:pt idx="3">
                  <c:v>-0.50949847492158895</c:v>
                </c:pt>
                <c:pt idx="4">
                  <c:v>-0.6870852593307013</c:v>
                </c:pt>
                <c:pt idx="5">
                  <c:v>-1.3261005134842074E-2</c:v>
                </c:pt>
                <c:pt idx="6">
                  <c:v>-0.92650664973034424</c:v>
                </c:pt>
                <c:pt idx="7">
                  <c:v>-0.1397598005359264</c:v>
                </c:pt>
                <c:pt idx="8">
                  <c:v>0.22561860466017025</c:v>
                </c:pt>
                <c:pt idx="9">
                  <c:v>0.42352935591800511</c:v>
                </c:pt>
                <c:pt idx="10">
                  <c:v>-0.74856723721021989</c:v>
                </c:pt>
                <c:pt idx="11">
                  <c:v>-0.14504801371621068</c:v>
                </c:pt>
                <c:pt idx="12">
                  <c:v>0.98698410245989621</c:v>
                </c:pt>
                <c:pt idx="13">
                  <c:v>-0.88923348608065966</c:v>
                </c:pt>
                <c:pt idx="14">
                  <c:v>0.722296095402295</c:v>
                </c:pt>
                <c:pt idx="15">
                  <c:v>0.17613129348032741</c:v>
                </c:pt>
                <c:pt idx="16">
                  <c:v>0.84681442409180652</c:v>
                </c:pt>
                <c:pt idx="17">
                  <c:v>5.8030505342259397E-2</c:v>
                </c:pt>
                <c:pt idx="18">
                  <c:v>-0.26941435936991032</c:v>
                </c:pt>
                <c:pt idx="19">
                  <c:v>0.17896736804670965</c:v>
                </c:pt>
                <c:pt idx="20">
                  <c:v>0.24650946465349866</c:v>
                </c:pt>
                <c:pt idx="21">
                  <c:v>0.46445453653998392</c:v>
                </c:pt>
                <c:pt idx="22">
                  <c:v>-0.34555325708642903</c:v>
                </c:pt>
                <c:pt idx="23">
                  <c:v>0.34791337492761087</c:v>
                </c:pt>
                <c:pt idx="24">
                  <c:v>-0.49255515228301161</c:v>
                </c:pt>
                <c:pt idx="25">
                  <c:v>-0.58962690272005114</c:v>
                </c:pt>
                <c:pt idx="26">
                  <c:v>-0.61841554961142564</c:v>
                </c:pt>
                <c:pt idx="27">
                  <c:v>0.48699464911869095</c:v>
                </c:pt>
                <c:pt idx="28">
                  <c:v>-0.19849610901999348</c:v>
                </c:pt>
                <c:pt idx="29">
                  <c:v>-0.78401791861779691</c:v>
                </c:pt>
                <c:pt idx="30">
                  <c:v>-0.55479571839213904</c:v>
                </c:pt>
                <c:pt idx="31">
                  <c:v>0.61988360070966197</c:v>
                </c:pt>
                <c:pt idx="32">
                  <c:v>-0.45842188750649204</c:v>
                </c:pt>
                <c:pt idx="33">
                  <c:v>0.58964677461998916</c:v>
                </c:pt>
                <c:pt idx="34">
                  <c:v>-0.83014478761488264</c:v>
                </c:pt>
                <c:pt idx="35">
                  <c:v>-0.29068395995910601</c:v>
                </c:pt>
                <c:pt idx="36">
                  <c:v>0.99228926735261624</c:v>
                </c:pt>
                <c:pt idx="37">
                  <c:v>-0.47072293769665663</c:v>
                </c:pt>
                <c:pt idx="38">
                  <c:v>-9.9527263206324657E-2</c:v>
                </c:pt>
                <c:pt idx="39">
                  <c:v>-0.74069111032026158</c:v>
                </c:pt>
                <c:pt idx="40">
                  <c:v>0.3324830248535926</c:v>
                </c:pt>
                <c:pt idx="41">
                  <c:v>1.6541163180231466E-2</c:v>
                </c:pt>
                <c:pt idx="42">
                  <c:v>0.88317206593164688</c:v>
                </c:pt>
                <c:pt idx="43">
                  <c:v>0.45947456828453559</c:v>
                </c:pt>
                <c:pt idx="44">
                  <c:v>-0.36220426130262662</c:v>
                </c:pt>
                <c:pt idx="45">
                  <c:v>-6.3636147978757274E-2</c:v>
                </c:pt>
                <c:pt idx="46">
                  <c:v>6.13478668701124E-2</c:v>
                </c:pt>
                <c:pt idx="47">
                  <c:v>8.6248568917849378E-2</c:v>
                </c:pt>
                <c:pt idx="48">
                  <c:v>0.10009729446044302</c:v>
                </c:pt>
                <c:pt idx="49">
                  <c:v>-0.5551936021671704</c:v>
                </c:pt>
                <c:pt idx="50">
                  <c:v>-0.171276773837443</c:v>
                </c:pt>
                <c:pt idx="51">
                  <c:v>-0.12439050497446513</c:v>
                </c:pt>
                <c:pt idx="52">
                  <c:v>0.56079779517200468</c:v>
                </c:pt>
                <c:pt idx="53">
                  <c:v>0.66728233768909528</c:v>
                </c:pt>
                <c:pt idx="54">
                  <c:v>0.41882933721476889</c:v>
                </c:pt>
                <c:pt idx="55">
                  <c:v>-0.62930047310775428</c:v>
                </c:pt>
                <c:pt idx="56">
                  <c:v>1.498842957258395E-2</c:v>
                </c:pt>
                <c:pt idx="57">
                  <c:v>-0.47875577400360414</c:v>
                </c:pt>
                <c:pt idx="58">
                  <c:v>0.26068944275833572</c:v>
                </c:pt>
                <c:pt idx="59">
                  <c:v>-0.99765445748220483</c:v>
                </c:pt>
                <c:pt idx="60">
                  <c:v>-0.88418505722429797</c:v>
                </c:pt>
                <c:pt idx="61">
                  <c:v>0.3515160390074723</c:v>
                </c:pt>
                <c:pt idx="62">
                  <c:v>0.97333999429505269</c:v>
                </c:pt>
                <c:pt idx="63">
                  <c:v>0.52525362283579735</c:v>
                </c:pt>
                <c:pt idx="64">
                  <c:v>-0.56035128323818006</c:v>
                </c:pt>
                <c:pt idx="65">
                  <c:v>0.23546385890616883</c:v>
                </c:pt>
                <c:pt idx="66">
                  <c:v>0.69528238332679893</c:v>
                </c:pt>
                <c:pt idx="67">
                  <c:v>-0.43357150935871935</c:v>
                </c:pt>
                <c:pt idx="68">
                  <c:v>0.29571496226171035</c:v>
                </c:pt>
                <c:pt idx="69">
                  <c:v>-0.55082679098831555</c:v>
                </c:pt>
                <c:pt idx="70">
                  <c:v>0.67016487797454438</c:v>
                </c:pt>
                <c:pt idx="71">
                  <c:v>-0.54504428884752398</c:v>
                </c:pt>
                <c:pt idx="72">
                  <c:v>0.46350021926809615</c:v>
                </c:pt>
                <c:pt idx="73">
                  <c:v>-0.614468799409841</c:v>
                </c:pt>
                <c:pt idx="74">
                  <c:v>-0.8888155286796493</c:v>
                </c:pt>
                <c:pt idx="75">
                  <c:v>-0.34554397878092802</c:v>
                </c:pt>
                <c:pt idx="76">
                  <c:v>0.63727103967348686</c:v>
                </c:pt>
                <c:pt idx="77">
                  <c:v>0.55111437880137792</c:v>
                </c:pt>
                <c:pt idx="78">
                  <c:v>-0.32842605104975187</c:v>
                </c:pt>
                <c:pt idx="79">
                  <c:v>7.3679185463475516E-2</c:v>
                </c:pt>
                <c:pt idx="80">
                  <c:v>0.93944558108859444</c:v>
                </c:pt>
                <c:pt idx="81">
                  <c:v>0.54075444719046017</c:v>
                </c:pt>
                <c:pt idx="82">
                  <c:v>-0.54212974852337159</c:v>
                </c:pt>
                <c:pt idx="83">
                  <c:v>-0.84033783568222797</c:v>
                </c:pt>
                <c:pt idx="84">
                  <c:v>-0.9223905302475206</c:v>
                </c:pt>
                <c:pt idx="85">
                  <c:v>-0.69706353594084014</c:v>
                </c:pt>
                <c:pt idx="86">
                  <c:v>0.64536344465554896</c:v>
                </c:pt>
                <c:pt idx="87">
                  <c:v>-0.94695078764002383</c:v>
                </c:pt>
                <c:pt idx="88">
                  <c:v>0.60444528161135813</c:v>
                </c:pt>
                <c:pt idx="89">
                  <c:v>9.0013987827914699E-2</c:v>
                </c:pt>
                <c:pt idx="90">
                  <c:v>0.696377205266838</c:v>
                </c:pt>
                <c:pt idx="91">
                  <c:v>0.36134145244818794</c:v>
                </c:pt>
                <c:pt idx="92">
                  <c:v>-0.44769848406290591</c:v>
                </c:pt>
                <c:pt idx="93">
                  <c:v>-0.95470594158655731</c:v>
                </c:pt>
                <c:pt idx="94">
                  <c:v>0.51447042696880363</c:v>
                </c:pt>
                <c:pt idx="95">
                  <c:v>0.52176716585480287</c:v>
                </c:pt>
                <c:pt idx="96">
                  <c:v>0.25912750094318526</c:v>
                </c:pt>
                <c:pt idx="97">
                  <c:v>-0.45591830456447546</c:v>
                </c:pt>
                <c:pt idx="98">
                  <c:v>0.30782613145357529</c:v>
                </c:pt>
                <c:pt idx="99">
                  <c:v>-0.78822833335961384</c:v>
                </c:pt>
                <c:pt idx="100">
                  <c:v>-0.3830739568064927</c:v>
                </c:pt>
                <c:pt idx="101">
                  <c:v>0.9695546334096572</c:v>
                </c:pt>
                <c:pt idx="102">
                  <c:v>0.7016027992313667</c:v>
                </c:pt>
                <c:pt idx="103">
                  <c:v>-0.87144900652274337</c:v>
                </c:pt>
                <c:pt idx="104">
                  <c:v>-0.24354693213972478</c:v>
                </c:pt>
                <c:pt idx="105">
                  <c:v>0.93535082563723915</c:v>
                </c:pt>
                <c:pt idx="106">
                  <c:v>0.9520267936365876</c:v>
                </c:pt>
                <c:pt idx="107">
                  <c:v>0.69447112653602017</c:v>
                </c:pt>
                <c:pt idx="108">
                  <c:v>0.71581710063885207</c:v>
                </c:pt>
                <c:pt idx="109">
                  <c:v>0.87736249961296142</c:v>
                </c:pt>
                <c:pt idx="110">
                  <c:v>-0.55340230011069291</c:v>
                </c:pt>
                <c:pt idx="111">
                  <c:v>-0.26434435475456231</c:v>
                </c:pt>
                <c:pt idx="112">
                  <c:v>4.8253503164273681E-2</c:v>
                </c:pt>
                <c:pt idx="113">
                  <c:v>-0.90511323982421388</c:v>
                </c:pt>
                <c:pt idx="114">
                  <c:v>-0.67079066318985259</c:v>
                </c:pt>
                <c:pt idx="115">
                  <c:v>-0.46876738531574724</c:v>
                </c:pt>
                <c:pt idx="116">
                  <c:v>-0.32390347958867127</c:v>
                </c:pt>
                <c:pt idx="117">
                  <c:v>-0.73876459370952774</c:v>
                </c:pt>
                <c:pt idx="118">
                  <c:v>-8.7954073878900418E-2</c:v>
                </c:pt>
                <c:pt idx="119">
                  <c:v>-0.10251977617940167</c:v>
                </c:pt>
                <c:pt idx="120">
                  <c:v>0.39570217830845644</c:v>
                </c:pt>
                <c:pt idx="121">
                  <c:v>0.4997209038408168</c:v>
                </c:pt>
                <c:pt idx="122">
                  <c:v>-0.35719464025863434</c:v>
                </c:pt>
                <c:pt idx="123">
                  <c:v>-0.83473252659759445</c:v>
                </c:pt>
                <c:pt idx="124">
                  <c:v>0.66356451504686897</c:v>
                </c:pt>
                <c:pt idx="125">
                  <c:v>-0.93089963266734221</c:v>
                </c:pt>
                <c:pt idx="126">
                  <c:v>-0.54432858281433272</c:v>
                </c:pt>
                <c:pt idx="127">
                  <c:v>-0.94623824161197456</c:v>
                </c:pt>
                <c:pt idx="128">
                  <c:v>-5.5621514681921447E-2</c:v>
                </c:pt>
                <c:pt idx="129">
                  <c:v>-0.97372883011055777</c:v>
                </c:pt>
                <c:pt idx="130">
                  <c:v>-0.51494502667771225</c:v>
                </c:pt>
                <c:pt idx="131">
                  <c:v>0.65398463329127421</c:v>
                </c:pt>
                <c:pt idx="132">
                  <c:v>-0.98692469193484045</c:v>
                </c:pt>
                <c:pt idx="133">
                  <c:v>-0.75502037692607371</c:v>
                </c:pt>
                <c:pt idx="134">
                  <c:v>-3.476478394179372E-2</c:v>
                </c:pt>
                <c:pt idx="135">
                  <c:v>0.99283764540699293</c:v>
                </c:pt>
                <c:pt idx="136">
                  <c:v>-0.52419966258283757</c:v>
                </c:pt>
                <c:pt idx="137">
                  <c:v>-0.42455230292977708</c:v>
                </c:pt>
                <c:pt idx="138">
                  <c:v>0.85851541709290746</c:v>
                </c:pt>
                <c:pt idx="139">
                  <c:v>-0.36822108745537085</c:v>
                </c:pt>
                <c:pt idx="140">
                  <c:v>-0.80328626189034225</c:v>
                </c:pt>
                <c:pt idx="141">
                  <c:v>-0.1241290917930904</c:v>
                </c:pt>
                <c:pt idx="142">
                  <c:v>-0.87795028820167098</c:v>
                </c:pt>
                <c:pt idx="143">
                  <c:v>-0.68629391566372044</c:v>
                </c:pt>
                <c:pt idx="144">
                  <c:v>0.41653763036588831</c:v>
                </c:pt>
                <c:pt idx="145">
                  <c:v>0.79678960612995553</c:v>
                </c:pt>
                <c:pt idx="146">
                  <c:v>-0.15693013746324858</c:v>
                </c:pt>
                <c:pt idx="147">
                  <c:v>0.7564124254681055</c:v>
                </c:pt>
                <c:pt idx="148">
                  <c:v>-5.1790571897639248E-2</c:v>
                </c:pt>
                <c:pt idx="149">
                  <c:v>-0.43997852131225579</c:v>
                </c:pt>
                <c:pt idx="150">
                  <c:v>2.3578901948010156E-2</c:v>
                </c:pt>
                <c:pt idx="151">
                  <c:v>-0.56066690665090579</c:v>
                </c:pt>
                <c:pt idx="152">
                  <c:v>-0.91616507136623859</c:v>
                </c:pt>
                <c:pt idx="153">
                  <c:v>-0.5289051866908685</c:v>
                </c:pt>
                <c:pt idx="154">
                  <c:v>-0.19784067097170732</c:v>
                </c:pt>
                <c:pt idx="155">
                  <c:v>-0.35563226526870029</c:v>
                </c:pt>
                <c:pt idx="156">
                  <c:v>-0.89087978301676962</c:v>
                </c:pt>
                <c:pt idx="157">
                  <c:v>0.49226800525523906</c:v>
                </c:pt>
                <c:pt idx="158">
                  <c:v>0.35479590184111864</c:v>
                </c:pt>
                <c:pt idx="159">
                  <c:v>0.48896381148774903</c:v>
                </c:pt>
                <c:pt idx="160">
                  <c:v>0.33792429027759252</c:v>
                </c:pt>
                <c:pt idx="161">
                  <c:v>0.82364182453913592</c:v>
                </c:pt>
                <c:pt idx="162">
                  <c:v>0.83653398993259609</c:v>
                </c:pt>
                <c:pt idx="163">
                  <c:v>0.66369704072888114</c:v>
                </c:pt>
                <c:pt idx="164">
                  <c:v>0.66659748412099118</c:v>
                </c:pt>
                <c:pt idx="165">
                  <c:v>-0.49563925759237204</c:v>
                </c:pt>
                <c:pt idx="166">
                  <c:v>0.49130095379304284</c:v>
                </c:pt>
                <c:pt idx="167">
                  <c:v>-0.75347355153487539</c:v>
                </c:pt>
                <c:pt idx="168">
                  <c:v>0.2789655103597497</c:v>
                </c:pt>
                <c:pt idx="169">
                  <c:v>0.73174752111128449</c:v>
                </c:pt>
                <c:pt idx="170">
                  <c:v>0.57241943393967998</c:v>
                </c:pt>
                <c:pt idx="171">
                  <c:v>0.67370781688222237</c:v>
                </c:pt>
                <c:pt idx="172">
                  <c:v>0.6156557715089781</c:v>
                </c:pt>
                <c:pt idx="173">
                  <c:v>-0.10082314084382271</c:v>
                </c:pt>
                <c:pt idx="174">
                  <c:v>-0.63275272073003075</c:v>
                </c:pt>
                <c:pt idx="175">
                  <c:v>0.1350067885986046</c:v>
                </c:pt>
                <c:pt idx="176">
                  <c:v>0.86219101519290997</c:v>
                </c:pt>
                <c:pt idx="177">
                  <c:v>0.87909457614426856</c:v>
                </c:pt>
                <c:pt idx="178">
                  <c:v>-0.64605077510575026</c:v>
                </c:pt>
                <c:pt idx="179">
                  <c:v>-7.4389859727626906E-2</c:v>
                </c:pt>
                <c:pt idx="180">
                  <c:v>-0.14871309182303705</c:v>
                </c:pt>
                <c:pt idx="181">
                  <c:v>0.7857946267837741</c:v>
                </c:pt>
                <c:pt idx="182">
                  <c:v>-0.75701438291689516</c:v>
                </c:pt>
                <c:pt idx="183">
                  <c:v>-0.22483950961257237</c:v>
                </c:pt>
                <c:pt idx="184">
                  <c:v>-0.57683904922245355</c:v>
                </c:pt>
                <c:pt idx="185">
                  <c:v>-0.87819760553091042</c:v>
                </c:pt>
                <c:pt idx="186">
                  <c:v>0.88272638522178237</c:v>
                </c:pt>
                <c:pt idx="187">
                  <c:v>-0.99860074124818721</c:v>
                </c:pt>
                <c:pt idx="188">
                  <c:v>-5.2950222332490693E-3</c:v>
                </c:pt>
                <c:pt idx="189">
                  <c:v>0.59111860899541546</c:v>
                </c:pt>
                <c:pt idx="190">
                  <c:v>0.28214499948986171</c:v>
                </c:pt>
                <c:pt idx="191">
                  <c:v>0.89215333284014453</c:v>
                </c:pt>
                <c:pt idx="192">
                  <c:v>-0.94252136178388901</c:v>
                </c:pt>
                <c:pt idx="193">
                  <c:v>0.17655528719331759</c:v>
                </c:pt>
                <c:pt idx="194">
                  <c:v>0.29073544025429832</c:v>
                </c:pt>
                <c:pt idx="195">
                  <c:v>0.54935940174868159</c:v>
                </c:pt>
                <c:pt idx="196">
                  <c:v>-0.45101819038930802</c:v>
                </c:pt>
                <c:pt idx="197">
                  <c:v>0.22272548997852204</c:v>
                </c:pt>
                <c:pt idx="198">
                  <c:v>0.32240464531383095</c:v>
                </c:pt>
                <c:pt idx="199">
                  <c:v>0.7610528726805692</c:v>
                </c:pt>
                <c:pt idx="200">
                  <c:v>-0.97787893930796699</c:v>
                </c:pt>
                <c:pt idx="201">
                  <c:v>-6.0679816761216587E-2</c:v>
                </c:pt>
                <c:pt idx="202">
                  <c:v>0.62399862750970891</c:v>
                </c:pt>
                <c:pt idx="203">
                  <c:v>0.62085696278725044</c:v>
                </c:pt>
                <c:pt idx="204">
                  <c:v>0.98404534983240777</c:v>
                </c:pt>
                <c:pt idx="205">
                  <c:v>-0.78718073406442612</c:v>
                </c:pt>
                <c:pt idx="206">
                  <c:v>6.7368697634401897E-2</c:v>
                </c:pt>
                <c:pt idx="207">
                  <c:v>-0.80036354233093387</c:v>
                </c:pt>
                <c:pt idx="208">
                  <c:v>-0.42785336538509577</c:v>
                </c:pt>
                <c:pt idx="209">
                  <c:v>0.1479378975247474</c:v>
                </c:pt>
                <c:pt idx="210">
                  <c:v>-0.12193119212427517</c:v>
                </c:pt>
                <c:pt idx="211">
                  <c:v>-0.97218830170486004</c:v>
                </c:pt>
                <c:pt idx="212">
                  <c:v>0.90324903429066161</c:v>
                </c:pt>
                <c:pt idx="213">
                  <c:v>0.17618029047808004</c:v>
                </c:pt>
                <c:pt idx="214">
                  <c:v>-0.75395816187007147</c:v>
                </c:pt>
                <c:pt idx="215">
                  <c:v>-0.88569517759199079</c:v>
                </c:pt>
                <c:pt idx="216">
                  <c:v>-0.90723437610355018</c:v>
                </c:pt>
                <c:pt idx="217">
                  <c:v>0.62460121459673057</c:v>
                </c:pt>
                <c:pt idx="218">
                  <c:v>0.62395630765587473</c:v>
                </c:pt>
                <c:pt idx="219">
                  <c:v>-0.94545464457103456</c:v>
                </c:pt>
                <c:pt idx="220">
                  <c:v>-0.71667129458178791</c:v>
                </c:pt>
                <c:pt idx="221">
                  <c:v>-0.20649130027992157</c:v>
                </c:pt>
                <c:pt idx="222">
                  <c:v>-0.82401069023576046</c:v>
                </c:pt>
                <c:pt idx="223">
                  <c:v>-0.42378421919890874</c:v>
                </c:pt>
                <c:pt idx="224">
                  <c:v>0.83728206480742196</c:v>
                </c:pt>
                <c:pt idx="225">
                  <c:v>0.94653873319961201</c:v>
                </c:pt>
                <c:pt idx="226">
                  <c:v>0.98626659672566364</c:v>
                </c:pt>
                <c:pt idx="227">
                  <c:v>-0.71289667959765857</c:v>
                </c:pt>
                <c:pt idx="228">
                  <c:v>3.3886023886754435E-2</c:v>
                </c:pt>
                <c:pt idx="229">
                  <c:v>0.31911919798002497</c:v>
                </c:pt>
                <c:pt idx="230">
                  <c:v>0.69672413612686501</c:v>
                </c:pt>
                <c:pt idx="231">
                  <c:v>-0.89067563275894246</c:v>
                </c:pt>
                <c:pt idx="232">
                  <c:v>-0.61253025398566785</c:v>
                </c:pt>
                <c:pt idx="233">
                  <c:v>0.80806132411947851</c:v>
                </c:pt>
                <c:pt idx="234">
                  <c:v>-0.3486061801882554</c:v>
                </c:pt>
                <c:pt idx="235">
                  <c:v>-0.55044511157910203</c:v>
                </c:pt>
                <c:pt idx="236">
                  <c:v>-2.1019483886335788E-2</c:v>
                </c:pt>
                <c:pt idx="237">
                  <c:v>0.7952832963900367</c:v>
                </c:pt>
                <c:pt idx="238">
                  <c:v>0.75811484789164374</c:v>
                </c:pt>
                <c:pt idx="239">
                  <c:v>-0.23399174153721725</c:v>
                </c:pt>
                <c:pt idx="240">
                  <c:v>0.48040295146441281</c:v>
                </c:pt>
                <c:pt idx="241">
                  <c:v>0.94712709853100563</c:v>
                </c:pt>
                <c:pt idx="242">
                  <c:v>0.22756931320858031</c:v>
                </c:pt>
                <c:pt idx="243">
                  <c:v>-0.95785262656434811</c:v>
                </c:pt>
                <c:pt idx="244">
                  <c:v>0.87633941820547046</c:v>
                </c:pt>
                <c:pt idx="245">
                  <c:v>6.3741742550843306E-2</c:v>
                </c:pt>
                <c:pt idx="246">
                  <c:v>0.10528568684316664</c:v>
                </c:pt>
                <c:pt idx="247">
                  <c:v>0.23796639370725825</c:v>
                </c:pt>
                <c:pt idx="248">
                  <c:v>-0.32281669286623527</c:v>
                </c:pt>
                <c:pt idx="249">
                  <c:v>-0.23479453695629848</c:v>
                </c:pt>
                <c:pt idx="250">
                  <c:v>4.9205572559290367E-2</c:v>
                </c:pt>
                <c:pt idx="251">
                  <c:v>-0.34159200501039333</c:v>
                </c:pt>
                <c:pt idx="252">
                  <c:v>0.50680411363080258</c:v>
                </c:pt>
                <c:pt idx="253">
                  <c:v>-0.43171356028126429</c:v>
                </c:pt>
                <c:pt idx="254">
                  <c:v>-0.5417791524496649</c:v>
                </c:pt>
                <c:pt idx="255">
                  <c:v>-0.95689590857475082</c:v>
                </c:pt>
                <c:pt idx="256">
                  <c:v>0.22872233224077299</c:v>
                </c:pt>
                <c:pt idx="257">
                  <c:v>-0.8909492581297489</c:v>
                </c:pt>
                <c:pt idx="258">
                  <c:v>-0.16559876421244546</c:v>
                </c:pt>
                <c:pt idx="259">
                  <c:v>0.17192857402747719</c:v>
                </c:pt>
                <c:pt idx="260">
                  <c:v>-9.8876757486691114E-2</c:v>
                </c:pt>
                <c:pt idx="261">
                  <c:v>-0.94678871811740639</c:v>
                </c:pt>
                <c:pt idx="262">
                  <c:v>-7.3415691328212906E-2</c:v>
                </c:pt>
                <c:pt idx="263">
                  <c:v>-0.35075392725479015</c:v>
                </c:pt>
                <c:pt idx="264">
                  <c:v>0.37130554130306326</c:v>
                </c:pt>
                <c:pt idx="265">
                  <c:v>-0.85932675998766639</c:v>
                </c:pt>
                <c:pt idx="266">
                  <c:v>0.16517656211626619</c:v>
                </c:pt>
                <c:pt idx="267">
                  <c:v>2.6159503812821505E-2</c:v>
                </c:pt>
                <c:pt idx="268">
                  <c:v>0.69921608683701142</c:v>
                </c:pt>
                <c:pt idx="269">
                  <c:v>3.7032856225939659E-2</c:v>
                </c:pt>
                <c:pt idx="270">
                  <c:v>0.16059536914819628</c:v>
                </c:pt>
                <c:pt idx="271">
                  <c:v>0.88392355804402767</c:v>
                </c:pt>
                <c:pt idx="272">
                  <c:v>4.157959935412503E-2</c:v>
                </c:pt>
                <c:pt idx="273">
                  <c:v>3.2522365981594747E-2</c:v>
                </c:pt>
                <c:pt idx="274">
                  <c:v>-0.70351426264648054</c:v>
                </c:pt>
                <c:pt idx="275">
                  <c:v>0.42319818816512766</c:v>
                </c:pt>
                <c:pt idx="276">
                  <c:v>-0.22421614405167256</c:v>
                </c:pt>
                <c:pt idx="277">
                  <c:v>0.18375576436100771</c:v>
                </c:pt>
                <c:pt idx="278">
                  <c:v>0.30888694389044535</c:v>
                </c:pt>
                <c:pt idx="279">
                  <c:v>0.422991719017348</c:v>
                </c:pt>
                <c:pt idx="280">
                  <c:v>-0.82962707676854719</c:v>
                </c:pt>
                <c:pt idx="281">
                  <c:v>0.56574803905437898</c:v>
                </c:pt>
                <c:pt idx="282">
                  <c:v>0.2431971177658272</c:v>
                </c:pt>
                <c:pt idx="283">
                  <c:v>-4.2744003166577116E-2</c:v>
                </c:pt>
                <c:pt idx="284">
                  <c:v>-0.72820895610551117</c:v>
                </c:pt>
                <c:pt idx="285">
                  <c:v>-0.73500333862039136</c:v>
                </c:pt>
                <c:pt idx="286">
                  <c:v>0.88440980436341432</c:v>
                </c:pt>
                <c:pt idx="287">
                  <c:v>-0.69703803295875155</c:v>
                </c:pt>
                <c:pt idx="288">
                  <c:v>-0.78681241491269027</c:v>
                </c:pt>
                <c:pt idx="289">
                  <c:v>0.1002803530895644</c:v>
                </c:pt>
                <c:pt idx="290">
                  <c:v>0.57123500198899357</c:v>
                </c:pt>
                <c:pt idx="291">
                  <c:v>-3.9801769344298021E-2</c:v>
                </c:pt>
                <c:pt idx="292">
                  <c:v>-0.18778366385865297</c:v>
                </c:pt>
                <c:pt idx="293">
                  <c:v>-0.17806313683640362</c:v>
                </c:pt>
                <c:pt idx="294">
                  <c:v>0.43545862363834975</c:v>
                </c:pt>
                <c:pt idx="295">
                  <c:v>-0.27904246790869025</c:v>
                </c:pt>
                <c:pt idx="296">
                  <c:v>-8.0316366067202161E-2</c:v>
                </c:pt>
                <c:pt idx="297">
                  <c:v>-0.75434518596670275</c:v>
                </c:pt>
                <c:pt idx="298">
                  <c:v>5.4384232127465237E-2</c:v>
                </c:pt>
                <c:pt idx="299">
                  <c:v>-0.29449940554401932</c:v>
                </c:pt>
                <c:pt idx="300">
                  <c:v>-0.22931235964910113</c:v>
                </c:pt>
                <c:pt idx="301">
                  <c:v>6.0033180688977117E-2</c:v>
                </c:pt>
                <c:pt idx="302">
                  <c:v>0.86814252879149589</c:v>
                </c:pt>
                <c:pt idx="303">
                  <c:v>0.36852972433866382</c:v>
                </c:pt>
                <c:pt idx="304">
                  <c:v>0.1339224588043737</c:v>
                </c:pt>
                <c:pt idx="305">
                  <c:v>-0.64343160419306566</c:v>
                </c:pt>
                <c:pt idx="306">
                  <c:v>0.94903365123823513</c:v>
                </c:pt>
                <c:pt idx="307">
                  <c:v>-0.40349292054666863</c:v>
                </c:pt>
                <c:pt idx="308">
                  <c:v>0.2652795019703309</c:v>
                </c:pt>
                <c:pt idx="309">
                  <c:v>-0.86293614796028062</c:v>
                </c:pt>
                <c:pt idx="310">
                  <c:v>-0.2565702086886803</c:v>
                </c:pt>
                <c:pt idx="311">
                  <c:v>-0.51384729373676863</c:v>
                </c:pt>
                <c:pt idx="312">
                  <c:v>-0.65102724246533539</c:v>
                </c:pt>
                <c:pt idx="313">
                  <c:v>0.5207777225769048</c:v>
                </c:pt>
                <c:pt idx="314">
                  <c:v>0.91973993571105805</c:v>
                </c:pt>
                <c:pt idx="315">
                  <c:v>-0.42816699835781691</c:v>
                </c:pt>
                <c:pt idx="316">
                  <c:v>0.40660652054770519</c:v>
                </c:pt>
                <c:pt idx="317">
                  <c:v>-0.37809476541577314</c:v>
                </c:pt>
                <c:pt idx="318">
                  <c:v>0.79818818073911446</c:v>
                </c:pt>
                <c:pt idx="319">
                  <c:v>0.62064092929149828</c:v>
                </c:pt>
                <c:pt idx="320">
                  <c:v>-0.10770797179646152</c:v>
                </c:pt>
                <c:pt idx="321">
                  <c:v>0.23728772832096312</c:v>
                </c:pt>
                <c:pt idx="322">
                  <c:v>-0.22039461339376287</c:v>
                </c:pt>
                <c:pt idx="323">
                  <c:v>7.7863494004460687E-2</c:v>
                </c:pt>
                <c:pt idx="324">
                  <c:v>0.59359568994146428</c:v>
                </c:pt>
                <c:pt idx="325">
                  <c:v>0.61338705338578103</c:v>
                </c:pt>
                <c:pt idx="326">
                  <c:v>-4.161513776969139E-2</c:v>
                </c:pt>
                <c:pt idx="327">
                  <c:v>-0.46093438412441179</c:v>
                </c:pt>
                <c:pt idx="328">
                  <c:v>0.92961617541820618</c:v>
                </c:pt>
                <c:pt idx="329">
                  <c:v>-0.99372568595094557</c:v>
                </c:pt>
                <c:pt idx="330">
                  <c:v>-0.82082241287268265</c:v>
                </c:pt>
                <c:pt idx="331">
                  <c:v>-0.53094663940695486</c:v>
                </c:pt>
                <c:pt idx="332">
                  <c:v>1.4011274253683981E-2</c:v>
                </c:pt>
                <c:pt idx="333">
                  <c:v>-0.22483551609894237</c:v>
                </c:pt>
                <c:pt idx="334">
                  <c:v>-0.32871973590932657</c:v>
                </c:pt>
                <c:pt idx="335">
                  <c:v>0.15726785469659799</c:v>
                </c:pt>
                <c:pt idx="336">
                  <c:v>-0.83706397839386515</c:v>
                </c:pt>
                <c:pt idx="337">
                  <c:v>0.81645602612137824</c:v>
                </c:pt>
                <c:pt idx="338">
                  <c:v>0.41774708715775466</c:v>
                </c:pt>
                <c:pt idx="339">
                  <c:v>0.56285285142274133</c:v>
                </c:pt>
                <c:pt idx="340">
                  <c:v>0.59941435230178897</c:v>
                </c:pt>
                <c:pt idx="341">
                  <c:v>0.3008725486763284</c:v>
                </c:pt>
                <c:pt idx="342">
                  <c:v>-0.30246703358953031</c:v>
                </c:pt>
                <c:pt idx="343">
                  <c:v>5.0163372856114608E-2</c:v>
                </c:pt>
                <c:pt idx="344">
                  <c:v>2.2319235281246685E-2</c:v>
                </c:pt>
                <c:pt idx="345">
                  <c:v>0.6051420742440603</c:v>
                </c:pt>
                <c:pt idx="346">
                  <c:v>-0.66685449147555209</c:v>
                </c:pt>
                <c:pt idx="347">
                  <c:v>0.8492803305042107</c:v>
                </c:pt>
                <c:pt idx="348">
                  <c:v>0.9419727259192443</c:v>
                </c:pt>
                <c:pt idx="349">
                  <c:v>-0.83512151109953159</c:v>
                </c:pt>
                <c:pt idx="350">
                  <c:v>-0.74661764389249052</c:v>
                </c:pt>
                <c:pt idx="351">
                  <c:v>-0.36564115757469939</c:v>
                </c:pt>
                <c:pt idx="352">
                  <c:v>-0.43265407716829407</c:v>
                </c:pt>
                <c:pt idx="353">
                  <c:v>-0.58911332645647829</c:v>
                </c:pt>
                <c:pt idx="354">
                  <c:v>-0.86656661521007328</c:v>
                </c:pt>
                <c:pt idx="355">
                  <c:v>0.71511957618316391</c:v>
                </c:pt>
                <c:pt idx="356">
                  <c:v>-0.37355738239610514</c:v>
                </c:pt>
                <c:pt idx="357">
                  <c:v>0.93029337415526325</c:v>
                </c:pt>
                <c:pt idx="358">
                  <c:v>-4.989958422206886E-2</c:v>
                </c:pt>
                <c:pt idx="359">
                  <c:v>-0.42664732811957129</c:v>
                </c:pt>
                <c:pt idx="360">
                  <c:v>4.871027216682311E-3</c:v>
                </c:pt>
                <c:pt idx="361">
                  <c:v>0.55534687076919931</c:v>
                </c:pt>
                <c:pt idx="362">
                  <c:v>-0.910588132482961</c:v>
                </c:pt>
                <c:pt idx="363">
                  <c:v>0.18120820395250936</c:v>
                </c:pt>
                <c:pt idx="364">
                  <c:v>0.48384472056714878</c:v>
                </c:pt>
                <c:pt idx="365">
                  <c:v>-0.43970270187437532</c:v>
                </c:pt>
                <c:pt idx="366">
                  <c:v>-0.48055499683447089</c:v>
                </c:pt>
                <c:pt idx="367">
                  <c:v>-0.7450741088754893</c:v>
                </c:pt>
                <c:pt idx="368">
                  <c:v>-0.81693991936650634</c:v>
                </c:pt>
                <c:pt idx="369">
                  <c:v>-0.38440156501660616</c:v>
                </c:pt>
                <c:pt idx="370">
                  <c:v>0.85636721109590996</c:v>
                </c:pt>
                <c:pt idx="371">
                  <c:v>-0.26717573644055559</c:v>
                </c:pt>
                <c:pt idx="372">
                  <c:v>-0.67695777150384462</c:v>
                </c:pt>
                <c:pt idx="373">
                  <c:v>0.29407814187870374</c:v>
                </c:pt>
                <c:pt idx="374">
                  <c:v>0.55795447873395987</c:v>
                </c:pt>
                <c:pt idx="375">
                  <c:v>-0.64242108525611608</c:v>
                </c:pt>
                <c:pt idx="376">
                  <c:v>-0.37538987924561074</c:v>
                </c:pt>
                <c:pt idx="377">
                  <c:v>-0.3501565947114782</c:v>
                </c:pt>
                <c:pt idx="378">
                  <c:v>0.1184964756386977</c:v>
                </c:pt>
                <c:pt idx="379">
                  <c:v>0.37148124721544029</c:v>
                </c:pt>
                <c:pt idx="380">
                  <c:v>-0.6464571299655828</c:v>
                </c:pt>
                <c:pt idx="381">
                  <c:v>0.36936745640412605</c:v>
                </c:pt>
                <c:pt idx="382">
                  <c:v>-0.97143222729886425</c:v>
                </c:pt>
                <c:pt idx="383">
                  <c:v>-0.52050830759954736</c:v>
                </c:pt>
                <c:pt idx="384">
                  <c:v>-6.4624429786916737E-2</c:v>
                </c:pt>
                <c:pt idx="385">
                  <c:v>0.19855676681031653</c:v>
                </c:pt>
                <c:pt idx="386">
                  <c:v>-0.47805430016442352</c:v>
                </c:pt>
                <c:pt idx="387">
                  <c:v>0.55959371784948675</c:v>
                </c:pt>
                <c:pt idx="388">
                  <c:v>0.9514183568365453</c:v>
                </c:pt>
                <c:pt idx="389">
                  <c:v>6.2675380592450036E-2</c:v>
                </c:pt>
                <c:pt idx="390">
                  <c:v>0.28396847391363034</c:v>
                </c:pt>
                <c:pt idx="391">
                  <c:v>0.66234274851273889</c:v>
                </c:pt>
                <c:pt idx="392">
                  <c:v>0.76500529467889233</c:v>
                </c:pt>
                <c:pt idx="393">
                  <c:v>0.41475486839870057</c:v>
                </c:pt>
                <c:pt idx="394">
                  <c:v>-0.89324745552508089</c:v>
                </c:pt>
                <c:pt idx="395">
                  <c:v>0.26606926363413064</c:v>
                </c:pt>
                <c:pt idx="396">
                  <c:v>-0.52478128277546654</c:v>
                </c:pt>
                <c:pt idx="397">
                  <c:v>0.85515587297050533</c:v>
                </c:pt>
                <c:pt idx="398">
                  <c:v>-6.2825860897857133E-3</c:v>
                </c:pt>
                <c:pt idx="399">
                  <c:v>3.8130910908071636E-2</c:v>
                </c:pt>
                <c:pt idx="400">
                  <c:v>-0.26095707873296958</c:v>
                </c:pt>
                <c:pt idx="401">
                  <c:v>0.64202037632238462</c:v>
                </c:pt>
                <c:pt idx="402">
                  <c:v>-0.91418813716451242</c:v>
                </c:pt>
                <c:pt idx="403">
                  <c:v>0.76744462263510416</c:v>
                </c:pt>
                <c:pt idx="404">
                  <c:v>0.71976733966557682</c:v>
                </c:pt>
                <c:pt idx="405">
                  <c:v>5.2876724285755738E-2</c:v>
                </c:pt>
                <c:pt idx="406">
                  <c:v>0.29646191123993804</c:v>
                </c:pt>
                <c:pt idx="407">
                  <c:v>-0.66908401091125591</c:v>
                </c:pt>
                <c:pt idx="408">
                  <c:v>0.83402923452022026</c:v>
                </c:pt>
                <c:pt idx="409">
                  <c:v>0.91817876739156246</c:v>
                </c:pt>
                <c:pt idx="410">
                  <c:v>-0.1808241974072986</c:v>
                </c:pt>
                <c:pt idx="411">
                  <c:v>0.10721590930794611</c:v>
                </c:pt>
                <c:pt idx="412">
                  <c:v>-0.57156951534127165</c:v>
                </c:pt>
                <c:pt idx="413">
                  <c:v>-6.0599841611408412E-2</c:v>
                </c:pt>
                <c:pt idx="414">
                  <c:v>0.72574645848119967</c:v>
                </c:pt>
                <c:pt idx="415">
                  <c:v>0.60344211781638979</c:v>
                </c:pt>
                <c:pt idx="416">
                  <c:v>-0.15258456865491676</c:v>
                </c:pt>
                <c:pt idx="417">
                  <c:v>-3.6943487017184973E-2</c:v>
                </c:pt>
                <c:pt idx="418">
                  <c:v>-0.53203214108489072</c:v>
                </c:pt>
                <c:pt idx="419">
                  <c:v>-8.1335565213107142E-2</c:v>
                </c:pt>
                <c:pt idx="420">
                  <c:v>-0.7031371249174081</c:v>
                </c:pt>
                <c:pt idx="421">
                  <c:v>-0.39455981219825298</c:v>
                </c:pt>
                <c:pt idx="422">
                  <c:v>-0.65797335530704171</c:v>
                </c:pt>
                <c:pt idx="423">
                  <c:v>0.69797855649322504</c:v>
                </c:pt>
                <c:pt idx="424">
                  <c:v>0.58084379264247299</c:v>
                </c:pt>
                <c:pt idx="425">
                  <c:v>-0.58153375387704154</c:v>
                </c:pt>
                <c:pt idx="426">
                  <c:v>0.9048113020431432</c:v>
                </c:pt>
                <c:pt idx="427">
                  <c:v>-0.89747778387088739</c:v>
                </c:pt>
                <c:pt idx="428">
                  <c:v>0.2170052142085459</c:v>
                </c:pt>
                <c:pt idx="429">
                  <c:v>0.64501598106898705</c:v>
                </c:pt>
                <c:pt idx="430">
                  <c:v>-0.81571684101168729</c:v>
                </c:pt>
                <c:pt idx="431">
                  <c:v>-0.78100522113567417</c:v>
                </c:pt>
                <c:pt idx="432">
                  <c:v>0.3365782967480242</c:v>
                </c:pt>
                <c:pt idx="433">
                  <c:v>-0.58370074806415606</c:v>
                </c:pt>
                <c:pt idx="434">
                  <c:v>1.8698707252372326E-2</c:v>
                </c:pt>
                <c:pt idx="435">
                  <c:v>-0.13331746400478184</c:v>
                </c:pt>
                <c:pt idx="436">
                  <c:v>0.9483175298312605</c:v>
                </c:pt>
                <c:pt idx="437">
                  <c:v>-0.8946395740318227</c:v>
                </c:pt>
                <c:pt idx="438">
                  <c:v>-0.1261872203656067</c:v>
                </c:pt>
                <c:pt idx="439">
                  <c:v>-0.80297370960123482</c:v>
                </c:pt>
                <c:pt idx="440">
                  <c:v>-0.13329682425068112</c:v>
                </c:pt>
                <c:pt idx="441">
                  <c:v>-0.84392673995505341</c:v>
                </c:pt>
                <c:pt idx="442">
                  <c:v>-0.59719735945296559</c:v>
                </c:pt>
                <c:pt idx="443">
                  <c:v>0.88254500754592136</c:v>
                </c:pt>
                <c:pt idx="444">
                  <c:v>0.35714099205926142</c:v>
                </c:pt>
                <c:pt idx="445">
                  <c:v>-5.293977944608752E-2</c:v>
                </c:pt>
                <c:pt idx="446">
                  <c:v>2.0894075724604555E-3</c:v>
                </c:pt>
                <c:pt idx="447">
                  <c:v>-0.96335082203221822</c:v>
                </c:pt>
                <c:pt idx="448">
                  <c:v>0.40235382086476368</c:v>
                </c:pt>
                <c:pt idx="449">
                  <c:v>0.91153621303119081</c:v>
                </c:pt>
                <c:pt idx="450">
                  <c:v>0.54695310863247415</c:v>
                </c:pt>
                <c:pt idx="451">
                  <c:v>0.81871706769705477</c:v>
                </c:pt>
                <c:pt idx="452">
                  <c:v>-0.28764051025938397</c:v>
                </c:pt>
                <c:pt idx="453">
                  <c:v>0.12687466247417922</c:v>
                </c:pt>
                <c:pt idx="454">
                  <c:v>-0.63737017315834388</c:v>
                </c:pt>
                <c:pt idx="455">
                  <c:v>0.77684394002401325</c:v>
                </c:pt>
                <c:pt idx="456">
                  <c:v>0.56725050708062463</c:v>
                </c:pt>
                <c:pt idx="457">
                  <c:v>-0.68717996303418349</c:v>
                </c:pt>
                <c:pt idx="458">
                  <c:v>0.81154221897208423</c:v>
                </c:pt>
                <c:pt idx="459">
                  <c:v>0.33794318695040326</c:v>
                </c:pt>
                <c:pt idx="460">
                  <c:v>-0.32972762531621158</c:v>
                </c:pt>
                <c:pt idx="461">
                  <c:v>0.97540510243696232</c:v>
                </c:pt>
                <c:pt idx="462">
                  <c:v>-0.86336979226153021</c:v>
                </c:pt>
                <c:pt idx="463">
                  <c:v>0.96685313965291941</c:v>
                </c:pt>
                <c:pt idx="464">
                  <c:v>0.21807604002791736</c:v>
                </c:pt>
                <c:pt idx="465">
                  <c:v>-0.53843245906822124</c:v>
                </c:pt>
                <c:pt idx="466">
                  <c:v>0.72339207445162224</c:v>
                </c:pt>
                <c:pt idx="467">
                  <c:v>-0.49848403909084937</c:v>
                </c:pt>
                <c:pt idx="468">
                  <c:v>-0.37751693327270486</c:v>
                </c:pt>
                <c:pt idx="469">
                  <c:v>0.27226932870497378</c:v>
                </c:pt>
                <c:pt idx="470">
                  <c:v>-0.29450756807595524</c:v>
                </c:pt>
                <c:pt idx="471">
                  <c:v>0.20671768932049894</c:v>
                </c:pt>
                <c:pt idx="472">
                  <c:v>0.35617669055971257</c:v>
                </c:pt>
                <c:pt idx="473">
                  <c:v>-0.35524721676499982</c:v>
                </c:pt>
                <c:pt idx="474">
                  <c:v>-0.93713920342232626</c:v>
                </c:pt>
                <c:pt idx="475">
                  <c:v>0.96292629577591082</c:v>
                </c:pt>
                <c:pt idx="476">
                  <c:v>0.43502314587250668</c:v>
                </c:pt>
                <c:pt idx="477">
                  <c:v>-0.76809940274049926</c:v>
                </c:pt>
                <c:pt idx="478">
                  <c:v>-0.35239140690362758</c:v>
                </c:pt>
                <c:pt idx="479">
                  <c:v>-8.8440851182440827E-3</c:v>
                </c:pt>
                <c:pt idx="480">
                  <c:v>-0.43338924087095831</c:v>
                </c:pt>
                <c:pt idx="481">
                  <c:v>-0.26581052943725125</c:v>
                </c:pt>
                <c:pt idx="482">
                  <c:v>0.31692057492149472</c:v>
                </c:pt>
                <c:pt idx="483">
                  <c:v>0.83059276447276109</c:v>
                </c:pt>
                <c:pt idx="484">
                  <c:v>-0.87217266547688177</c:v>
                </c:pt>
                <c:pt idx="485">
                  <c:v>0.73907922517243474</c:v>
                </c:pt>
                <c:pt idx="486">
                  <c:v>-0.29508766975424527</c:v>
                </c:pt>
                <c:pt idx="487">
                  <c:v>0.79739906434740004</c:v>
                </c:pt>
                <c:pt idx="488">
                  <c:v>-0.77721487662869126</c:v>
                </c:pt>
                <c:pt idx="489">
                  <c:v>-0.42424786515930757</c:v>
                </c:pt>
                <c:pt idx="490">
                  <c:v>-0.3231331470310852</c:v>
                </c:pt>
                <c:pt idx="491">
                  <c:v>0.89950525213238541</c:v>
                </c:pt>
                <c:pt idx="492">
                  <c:v>-9.7211038541455519E-2</c:v>
                </c:pt>
                <c:pt idx="493">
                  <c:v>-0.88306965571972706</c:v>
                </c:pt>
                <c:pt idx="494">
                  <c:v>-0.62472289432864359</c:v>
                </c:pt>
                <c:pt idx="495">
                  <c:v>0.81642911101190418</c:v>
                </c:pt>
                <c:pt idx="496">
                  <c:v>0.77111595551084466</c:v>
                </c:pt>
                <c:pt idx="497">
                  <c:v>0.27202911625765802</c:v>
                </c:pt>
                <c:pt idx="498">
                  <c:v>-0.70825350282789246</c:v>
                </c:pt>
                <c:pt idx="499">
                  <c:v>-0.4554161476106986</c:v>
                </c:pt>
                <c:pt idx="500">
                  <c:v>0.66763378488437142</c:v>
                </c:pt>
                <c:pt idx="501">
                  <c:v>-8.3019114128110028E-2</c:v>
                </c:pt>
                <c:pt idx="502">
                  <c:v>-0.32461047003340382</c:v>
                </c:pt>
                <c:pt idx="503">
                  <c:v>-0.17500562855947277</c:v>
                </c:pt>
                <c:pt idx="504">
                  <c:v>-0.99956450812329334</c:v>
                </c:pt>
                <c:pt idx="505">
                  <c:v>-2.1297433646650266E-2</c:v>
                </c:pt>
                <c:pt idx="506">
                  <c:v>0.5938984180548692</c:v>
                </c:pt>
                <c:pt idx="507">
                  <c:v>-0.38153345112309145</c:v>
                </c:pt>
                <c:pt idx="508">
                  <c:v>-0.68280289666062988</c:v>
                </c:pt>
                <c:pt idx="509">
                  <c:v>3.4763087969865269E-2</c:v>
                </c:pt>
                <c:pt idx="510">
                  <c:v>-0.46592338358914831</c:v>
                </c:pt>
                <c:pt idx="511">
                  <c:v>-0.70242965952186798</c:v>
                </c:pt>
                <c:pt idx="512">
                  <c:v>-0.85805982782186496</c:v>
                </c:pt>
                <c:pt idx="513">
                  <c:v>-0.50231866678353221</c:v>
                </c:pt>
                <c:pt idx="514">
                  <c:v>0.21232371509023373</c:v>
                </c:pt>
                <c:pt idx="515">
                  <c:v>0.30744801773197428</c:v>
                </c:pt>
                <c:pt idx="516">
                  <c:v>0.48217948959575541</c:v>
                </c:pt>
                <c:pt idx="517">
                  <c:v>0.22938850719188442</c:v>
                </c:pt>
                <c:pt idx="518">
                  <c:v>-0.47767260469635886</c:v>
                </c:pt>
                <c:pt idx="519">
                  <c:v>-0.2616669964393441</c:v>
                </c:pt>
                <c:pt idx="520">
                  <c:v>-0.84745298990373774</c:v>
                </c:pt>
                <c:pt idx="521">
                  <c:v>-0.73896921896849332</c:v>
                </c:pt>
                <c:pt idx="522">
                  <c:v>-0.10548399355317351</c:v>
                </c:pt>
                <c:pt idx="523">
                  <c:v>-0.70711677303207576</c:v>
                </c:pt>
                <c:pt idx="524">
                  <c:v>0.26554510670338138</c:v>
                </c:pt>
                <c:pt idx="525">
                  <c:v>0.7925022910320263</c:v>
                </c:pt>
                <c:pt idx="526">
                  <c:v>0.88108363941030632</c:v>
                </c:pt>
                <c:pt idx="527">
                  <c:v>-0.95972670923172987</c:v>
                </c:pt>
                <c:pt idx="528">
                  <c:v>1.6802644847875303E-2</c:v>
                </c:pt>
                <c:pt idx="529">
                  <c:v>0.32957210248075719</c:v>
                </c:pt>
                <c:pt idx="530">
                  <c:v>-0.99637469666393841</c:v>
                </c:pt>
                <c:pt idx="531">
                  <c:v>-0.88126179741072153</c:v>
                </c:pt>
                <c:pt idx="532">
                  <c:v>0.89637356929730472</c:v>
                </c:pt>
                <c:pt idx="533">
                  <c:v>0.97066728615039444</c:v>
                </c:pt>
                <c:pt idx="534">
                  <c:v>-5.7222572140562145E-2</c:v>
                </c:pt>
                <c:pt idx="535">
                  <c:v>-0.9977784575551043</c:v>
                </c:pt>
                <c:pt idx="536">
                  <c:v>-0.53134718907772172</c:v>
                </c:pt>
                <c:pt idx="537">
                  <c:v>0.66128067965052906</c:v>
                </c:pt>
                <c:pt idx="538">
                  <c:v>0.48810114262813897</c:v>
                </c:pt>
                <c:pt idx="539">
                  <c:v>-0.38608809219332652</c:v>
                </c:pt>
                <c:pt idx="540">
                  <c:v>-0.19980550117713314</c:v>
                </c:pt>
                <c:pt idx="541">
                  <c:v>-0.4498813618646722</c:v>
                </c:pt>
                <c:pt idx="542">
                  <c:v>-0.13733258447528884</c:v>
                </c:pt>
                <c:pt idx="543">
                  <c:v>0.4123225065636551</c:v>
                </c:pt>
                <c:pt idx="544">
                  <c:v>-0.82207989867445863</c:v>
                </c:pt>
                <c:pt idx="545">
                  <c:v>-0.13879508104435767</c:v>
                </c:pt>
                <c:pt idx="546">
                  <c:v>0.22000969568474571</c:v>
                </c:pt>
                <c:pt idx="547">
                  <c:v>-0.65690047401515672</c:v>
                </c:pt>
                <c:pt idx="548">
                  <c:v>0.49187672271223759</c:v>
                </c:pt>
                <c:pt idx="549">
                  <c:v>-0.96858837912478601</c:v>
                </c:pt>
                <c:pt idx="550">
                  <c:v>0.73374722907946865</c:v>
                </c:pt>
                <c:pt idx="551">
                  <c:v>-0.95035470750613649</c:v>
                </c:pt>
                <c:pt idx="552">
                  <c:v>-0.51180709951308834</c:v>
                </c:pt>
                <c:pt idx="553">
                  <c:v>-0.85687300948416589</c:v>
                </c:pt>
                <c:pt idx="554">
                  <c:v>-0.91696760222298135</c:v>
                </c:pt>
                <c:pt idx="555">
                  <c:v>-0.6272455497079219</c:v>
                </c:pt>
                <c:pt idx="556">
                  <c:v>-0.73042968434368705</c:v>
                </c:pt>
                <c:pt idx="557">
                  <c:v>0.47743645283509251</c:v>
                </c:pt>
                <c:pt idx="558">
                  <c:v>0.5296597355808732</c:v>
                </c:pt>
                <c:pt idx="559">
                  <c:v>-0.72358231808117268</c:v>
                </c:pt>
                <c:pt idx="560">
                  <c:v>0.79331052841718019</c:v>
                </c:pt>
                <c:pt idx="561">
                  <c:v>-0.37436584633009051</c:v>
                </c:pt>
                <c:pt idx="562">
                  <c:v>6.13581658754212E-2</c:v>
                </c:pt>
                <c:pt idx="563">
                  <c:v>-0.30822439799604839</c:v>
                </c:pt>
                <c:pt idx="564">
                  <c:v>0.9235405835103494</c:v>
                </c:pt>
                <c:pt idx="565">
                  <c:v>-0.19694418374209954</c:v>
                </c:pt>
                <c:pt idx="566">
                  <c:v>-0.55692671413986039</c:v>
                </c:pt>
                <c:pt idx="567">
                  <c:v>-0.36058845270349993</c:v>
                </c:pt>
                <c:pt idx="568">
                  <c:v>0.18113070898987038</c:v>
                </c:pt>
                <c:pt idx="569">
                  <c:v>0.50725166130466115</c:v>
                </c:pt>
                <c:pt idx="570">
                  <c:v>-5.5232072117439968E-2</c:v>
                </c:pt>
                <c:pt idx="571">
                  <c:v>0.41929955144135977</c:v>
                </c:pt>
                <c:pt idx="572">
                  <c:v>0.67435787234245037</c:v>
                </c:pt>
                <c:pt idx="573">
                  <c:v>0.51054208504009657</c:v>
                </c:pt>
                <c:pt idx="574">
                  <c:v>-0.25987769616013279</c:v>
                </c:pt>
                <c:pt idx="575">
                  <c:v>-0.85176331874496336</c:v>
                </c:pt>
                <c:pt idx="576">
                  <c:v>0.19142555246902027</c:v>
                </c:pt>
                <c:pt idx="577">
                  <c:v>-8.2290133882115812E-2</c:v>
                </c:pt>
                <c:pt idx="578">
                  <c:v>1.5487297204106687E-2</c:v>
                </c:pt>
                <c:pt idx="579">
                  <c:v>-0.80005792920033714</c:v>
                </c:pt>
                <c:pt idx="580">
                  <c:v>-0.4457912850403658</c:v>
                </c:pt>
                <c:pt idx="581">
                  <c:v>-0.24442911457892902</c:v>
                </c:pt>
                <c:pt idx="582">
                  <c:v>0.80832051341923394</c:v>
                </c:pt>
                <c:pt idx="583">
                  <c:v>-0.57680758822409595</c:v>
                </c:pt>
                <c:pt idx="584">
                  <c:v>0.95612831606099968</c:v>
                </c:pt>
                <c:pt idx="585">
                  <c:v>0.87898005789091571</c:v>
                </c:pt>
                <c:pt idx="586">
                  <c:v>-0.71861250857966352</c:v>
                </c:pt>
                <c:pt idx="587">
                  <c:v>0.39899497091093328</c:v>
                </c:pt>
                <c:pt idx="588">
                  <c:v>0.87342463391189407</c:v>
                </c:pt>
                <c:pt idx="589">
                  <c:v>-0.65042509120194847</c:v>
                </c:pt>
                <c:pt idx="590">
                  <c:v>0.72167603761236965</c:v>
                </c:pt>
                <c:pt idx="591">
                  <c:v>-0.39395389393402103</c:v>
                </c:pt>
                <c:pt idx="592">
                  <c:v>-0.56651397854794094</c:v>
                </c:pt>
                <c:pt idx="593">
                  <c:v>-0.65505940437526955</c:v>
                </c:pt>
                <c:pt idx="594">
                  <c:v>0.1336077154921822</c:v>
                </c:pt>
                <c:pt idx="595">
                  <c:v>0.41376921815615342</c:v>
                </c:pt>
                <c:pt idx="596">
                  <c:v>0.96124543028889442</c:v>
                </c:pt>
                <c:pt idx="597">
                  <c:v>-9.2566102699596309E-2</c:v>
                </c:pt>
                <c:pt idx="598">
                  <c:v>-0.91589772247235723</c:v>
                </c:pt>
                <c:pt idx="599">
                  <c:v>-0.33708708503842533</c:v>
                </c:pt>
                <c:pt idx="600">
                  <c:v>0.27901427469705342</c:v>
                </c:pt>
                <c:pt idx="601">
                  <c:v>0.49759323392552668</c:v>
                </c:pt>
                <c:pt idx="602">
                  <c:v>0.35505124253691478</c:v>
                </c:pt>
                <c:pt idx="603">
                  <c:v>-0.2142521228162515</c:v>
                </c:pt>
                <c:pt idx="604">
                  <c:v>-0.77942173110315638</c:v>
                </c:pt>
                <c:pt idx="605">
                  <c:v>-0.96649507933700662</c:v>
                </c:pt>
                <c:pt idx="606">
                  <c:v>-0.44895629125606074</c:v>
                </c:pt>
                <c:pt idx="607">
                  <c:v>0.67368947940095913</c:v>
                </c:pt>
                <c:pt idx="608">
                  <c:v>0.17424429727694313</c:v>
                </c:pt>
                <c:pt idx="609">
                  <c:v>0.77861626833828668</c:v>
                </c:pt>
                <c:pt idx="610">
                  <c:v>0.88326137148740269</c:v>
                </c:pt>
                <c:pt idx="611">
                  <c:v>0.28121953799768273</c:v>
                </c:pt>
                <c:pt idx="612">
                  <c:v>-0.32599738011866886</c:v>
                </c:pt>
                <c:pt idx="613">
                  <c:v>0.51744858989519171</c:v>
                </c:pt>
                <c:pt idx="614">
                  <c:v>3.8228643346265079E-2</c:v>
                </c:pt>
                <c:pt idx="615">
                  <c:v>0.89796548577008384</c:v>
                </c:pt>
                <c:pt idx="616">
                  <c:v>-0.81616083093852732</c:v>
                </c:pt>
                <c:pt idx="617">
                  <c:v>-0.82141824904361793</c:v>
                </c:pt>
                <c:pt idx="618">
                  <c:v>0.81159975749308289</c:v>
                </c:pt>
                <c:pt idx="619">
                  <c:v>-0.52946310141548114</c:v>
                </c:pt>
                <c:pt idx="620">
                  <c:v>-0.53856874529536847</c:v>
                </c:pt>
                <c:pt idx="621">
                  <c:v>0.26509812090394025</c:v>
                </c:pt>
                <c:pt idx="622">
                  <c:v>-0.22353507002210615</c:v>
                </c:pt>
                <c:pt idx="623">
                  <c:v>0.33017228329563775</c:v>
                </c:pt>
                <c:pt idx="624">
                  <c:v>0.88812490371052344</c:v>
                </c:pt>
                <c:pt idx="625">
                  <c:v>0.65044817995294446</c:v>
                </c:pt>
                <c:pt idx="626">
                  <c:v>0.98737008792831205</c:v>
                </c:pt>
                <c:pt idx="627">
                  <c:v>0.46299223334313711</c:v>
                </c:pt>
                <c:pt idx="628">
                  <c:v>-0.51787275353341777</c:v>
                </c:pt>
                <c:pt idx="629">
                  <c:v>-9.0034841125212761E-2</c:v>
                </c:pt>
                <c:pt idx="630">
                  <c:v>-0.33213477296947236</c:v>
                </c:pt>
                <c:pt idx="631">
                  <c:v>-0.58905874937205005</c:v>
                </c:pt>
                <c:pt idx="632">
                  <c:v>0.38134663393187829</c:v>
                </c:pt>
                <c:pt idx="633">
                  <c:v>2.158787216618685E-2</c:v>
                </c:pt>
                <c:pt idx="634">
                  <c:v>-0.88954977492541776</c:v>
                </c:pt>
                <c:pt idx="635">
                  <c:v>0.83811890233533992</c:v>
                </c:pt>
                <c:pt idx="636">
                  <c:v>0.63982862070012181</c:v>
                </c:pt>
                <c:pt idx="637">
                  <c:v>-0.67442963876663531</c:v>
                </c:pt>
                <c:pt idx="638">
                  <c:v>-9.1791211206160517E-2</c:v>
                </c:pt>
                <c:pt idx="639">
                  <c:v>-0.17673778643996063</c:v>
                </c:pt>
                <c:pt idx="640">
                  <c:v>-7.2173040058658877E-2</c:v>
                </c:pt>
                <c:pt idx="641">
                  <c:v>0.25346743789327708</c:v>
                </c:pt>
                <c:pt idx="642">
                  <c:v>0.9628206943697093</c:v>
                </c:pt>
                <c:pt idx="643">
                  <c:v>-0.90427178149845622</c:v>
                </c:pt>
                <c:pt idx="644">
                  <c:v>0.35969398296279653</c:v>
                </c:pt>
                <c:pt idx="645">
                  <c:v>-0.47881744662732428</c:v>
                </c:pt>
                <c:pt idx="646">
                  <c:v>-0.5917884789104717</c:v>
                </c:pt>
                <c:pt idx="647">
                  <c:v>0.37023639459175905</c:v>
                </c:pt>
                <c:pt idx="648">
                  <c:v>0.36328712999322743</c:v>
                </c:pt>
                <c:pt idx="649">
                  <c:v>0.35238380428598903</c:v>
                </c:pt>
                <c:pt idx="650">
                  <c:v>-0.9708470444373043</c:v>
                </c:pt>
                <c:pt idx="651">
                  <c:v>-0.50190971333695811</c:v>
                </c:pt>
                <c:pt idx="652">
                  <c:v>-0.31132298829362992</c:v>
                </c:pt>
                <c:pt idx="653">
                  <c:v>-0.44411471439204786</c:v>
                </c:pt>
                <c:pt idx="654">
                  <c:v>0.39948340122588233</c:v>
                </c:pt>
                <c:pt idx="655">
                  <c:v>-0.74700590368384834</c:v>
                </c:pt>
                <c:pt idx="656">
                  <c:v>-0.47080598602835755</c:v>
                </c:pt>
                <c:pt idx="657">
                  <c:v>0.81060770949040695</c:v>
                </c:pt>
                <c:pt idx="658">
                  <c:v>0.49872149121698373</c:v>
                </c:pt>
                <c:pt idx="659">
                  <c:v>-1.6312604411071296E-2</c:v>
                </c:pt>
                <c:pt idx="660">
                  <c:v>-0.3967004613950782</c:v>
                </c:pt>
                <c:pt idx="661">
                  <c:v>-0.27591090076545211</c:v>
                </c:pt>
                <c:pt idx="662">
                  <c:v>-0.76571172622910821</c:v>
                </c:pt>
                <c:pt idx="663">
                  <c:v>-0.41816333046470922</c:v>
                </c:pt>
                <c:pt idx="664">
                  <c:v>0.76305910250539455</c:v>
                </c:pt>
                <c:pt idx="665">
                  <c:v>0.86465978373580943</c:v>
                </c:pt>
                <c:pt idx="666">
                  <c:v>0.43647471238842828</c:v>
                </c:pt>
                <c:pt idx="667">
                  <c:v>-0.96287046014699018</c:v>
                </c:pt>
                <c:pt idx="668">
                  <c:v>0.28393922973852503</c:v>
                </c:pt>
                <c:pt idx="669">
                  <c:v>0.57573353980685193</c:v>
                </c:pt>
                <c:pt idx="670">
                  <c:v>0.84819050971474996</c:v>
                </c:pt>
                <c:pt idx="671">
                  <c:v>-0.49558959564873217</c:v>
                </c:pt>
                <c:pt idx="672">
                  <c:v>-0.1684597570928601</c:v>
                </c:pt>
                <c:pt idx="673">
                  <c:v>0.87973789819754766</c:v>
                </c:pt>
                <c:pt idx="674">
                  <c:v>-0.14830367893642915</c:v>
                </c:pt>
                <c:pt idx="675">
                  <c:v>-1.5862140795983359E-2</c:v>
                </c:pt>
                <c:pt idx="676">
                  <c:v>0.62630250726353953</c:v>
                </c:pt>
                <c:pt idx="677">
                  <c:v>0.4849356846053865</c:v>
                </c:pt>
                <c:pt idx="678">
                  <c:v>0.85571096793030677</c:v>
                </c:pt>
                <c:pt idx="679">
                  <c:v>0.36519682452564894</c:v>
                </c:pt>
                <c:pt idx="680">
                  <c:v>-0.44848333117763084</c:v>
                </c:pt>
                <c:pt idx="681">
                  <c:v>0.89909961160850949</c:v>
                </c:pt>
                <c:pt idx="682">
                  <c:v>-4.5851682444697284E-2</c:v>
                </c:pt>
                <c:pt idx="683">
                  <c:v>-0.23547611690923675</c:v>
                </c:pt>
                <c:pt idx="684">
                  <c:v>0.48090467528248615</c:v>
                </c:pt>
                <c:pt idx="685">
                  <c:v>0.39051066677788215</c:v>
                </c:pt>
                <c:pt idx="686">
                  <c:v>0.14150391562693843</c:v>
                </c:pt>
                <c:pt idx="687">
                  <c:v>-9.7248685695230153E-2</c:v>
                </c:pt>
                <c:pt idx="688">
                  <c:v>-0.85579550926162584</c:v>
                </c:pt>
                <c:pt idx="689">
                  <c:v>-0.48008148042005883</c:v>
                </c:pt>
                <c:pt idx="690">
                  <c:v>-0.23461332815276936</c:v>
                </c:pt>
                <c:pt idx="691">
                  <c:v>0.2000453292205373</c:v>
                </c:pt>
                <c:pt idx="692">
                  <c:v>2.2443350013902519E-2</c:v>
                </c:pt>
                <c:pt idx="693">
                  <c:v>-0.21605617009434086</c:v>
                </c:pt>
                <c:pt idx="694">
                  <c:v>-0.80387103421688333</c:v>
                </c:pt>
                <c:pt idx="695">
                  <c:v>-0.31380448940876415</c:v>
                </c:pt>
                <c:pt idx="696">
                  <c:v>0.31741713324413601</c:v>
                </c:pt>
                <c:pt idx="697">
                  <c:v>-0.74988344840295329</c:v>
                </c:pt>
                <c:pt idx="698">
                  <c:v>0.43240366065684577</c:v>
                </c:pt>
                <c:pt idx="699">
                  <c:v>0.26957593047614647</c:v>
                </c:pt>
                <c:pt idx="700">
                  <c:v>-0.14307603332190544</c:v>
                </c:pt>
                <c:pt idx="701">
                  <c:v>0.60467855958032546</c:v>
                </c:pt>
                <c:pt idx="702">
                  <c:v>0.57687890627104554</c:v>
                </c:pt>
                <c:pt idx="703">
                  <c:v>-0.3205774626897544</c:v>
                </c:pt>
                <c:pt idx="704">
                  <c:v>-0.2241506269008553</c:v>
                </c:pt>
                <c:pt idx="705">
                  <c:v>0.37511515391863215</c:v>
                </c:pt>
                <c:pt idx="706">
                  <c:v>0.90716280002505556</c:v>
                </c:pt>
                <c:pt idx="707">
                  <c:v>0.92102736778855121</c:v>
                </c:pt>
                <c:pt idx="708">
                  <c:v>-0.41493849775646363</c:v>
                </c:pt>
                <c:pt idx="709">
                  <c:v>0.86893007265528199</c:v>
                </c:pt>
                <c:pt idx="710">
                  <c:v>-0.14718044653386375</c:v>
                </c:pt>
                <c:pt idx="711">
                  <c:v>6.0207207074620683E-3</c:v>
                </c:pt>
                <c:pt idx="712">
                  <c:v>-0.13473949278400132</c:v>
                </c:pt>
                <c:pt idx="713">
                  <c:v>1.6885384907372236E-2</c:v>
                </c:pt>
                <c:pt idx="714">
                  <c:v>0.31234920132727173</c:v>
                </c:pt>
                <c:pt idx="715">
                  <c:v>-0.20836272320421423</c:v>
                </c:pt>
                <c:pt idx="716">
                  <c:v>0.31668948665140828</c:v>
                </c:pt>
                <c:pt idx="717">
                  <c:v>0.1985956874847723</c:v>
                </c:pt>
                <c:pt idx="718">
                  <c:v>0.62320378963912293</c:v>
                </c:pt>
                <c:pt idx="719">
                  <c:v>-0.74434253341165091</c:v>
                </c:pt>
                <c:pt idx="720">
                  <c:v>0.83291904476480183</c:v>
                </c:pt>
                <c:pt idx="721">
                  <c:v>-0.99324934081072302</c:v>
                </c:pt>
                <c:pt idx="722">
                  <c:v>-0.65658845311570135</c:v>
                </c:pt>
                <c:pt idx="723">
                  <c:v>-0.42732022631663158</c:v>
                </c:pt>
                <c:pt idx="724">
                  <c:v>-0.62011686789326737</c:v>
                </c:pt>
                <c:pt idx="725">
                  <c:v>-0.34785202636533352</c:v>
                </c:pt>
                <c:pt idx="726">
                  <c:v>-0.80836149805001178</c:v>
                </c:pt>
                <c:pt idx="727">
                  <c:v>-0.15958318561112983</c:v>
                </c:pt>
                <c:pt idx="728">
                  <c:v>0.50356000673656109</c:v>
                </c:pt>
                <c:pt idx="729">
                  <c:v>-0.63115932096298244</c:v>
                </c:pt>
                <c:pt idx="730">
                  <c:v>2.4255316084753842E-2</c:v>
                </c:pt>
                <c:pt idx="731">
                  <c:v>0.52600709537779311</c:v>
                </c:pt>
                <c:pt idx="732">
                  <c:v>-0.88471328459476872</c:v>
                </c:pt>
                <c:pt idx="733">
                  <c:v>-0.19086869200091705</c:v>
                </c:pt>
                <c:pt idx="734">
                  <c:v>2.9325963023946855E-2</c:v>
                </c:pt>
                <c:pt idx="735">
                  <c:v>0.60182379531791286</c:v>
                </c:pt>
                <c:pt idx="736">
                  <c:v>0.86590475008362966</c:v>
                </c:pt>
                <c:pt idx="737">
                  <c:v>0.56109722584411381</c:v>
                </c:pt>
                <c:pt idx="738">
                  <c:v>6.1306181880265376E-2</c:v>
                </c:pt>
                <c:pt idx="739">
                  <c:v>0.74179637451591152</c:v>
                </c:pt>
                <c:pt idx="740">
                  <c:v>-0.39750526254062168</c:v>
                </c:pt>
                <c:pt idx="741">
                  <c:v>-0.27922428984751346</c:v>
                </c:pt>
                <c:pt idx="742">
                  <c:v>0.17663433270227968</c:v>
                </c:pt>
                <c:pt idx="743">
                  <c:v>1.958650666426931E-2</c:v>
                </c:pt>
                <c:pt idx="744">
                  <c:v>0.62028472339566743</c:v>
                </c:pt>
                <c:pt idx="745">
                  <c:v>9.7212055464423575E-2</c:v>
                </c:pt>
                <c:pt idx="746">
                  <c:v>0.69071597535945273</c:v>
                </c:pt>
                <c:pt idx="747">
                  <c:v>-0.93886662968355639</c:v>
                </c:pt>
                <c:pt idx="748">
                  <c:v>4.5095347217001036E-2</c:v>
                </c:pt>
                <c:pt idx="749">
                  <c:v>0.89091785710527915</c:v>
                </c:pt>
                <c:pt idx="750">
                  <c:v>-0.66400696572303897</c:v>
                </c:pt>
                <c:pt idx="751">
                  <c:v>0.50741829147408191</c:v>
                </c:pt>
                <c:pt idx="752">
                  <c:v>-0.10633973580443468</c:v>
                </c:pt>
                <c:pt idx="753">
                  <c:v>0.44660958719695198</c:v>
                </c:pt>
                <c:pt idx="754">
                  <c:v>-0.14254951005241634</c:v>
                </c:pt>
                <c:pt idx="755">
                  <c:v>-0.68022697383371344</c:v>
                </c:pt>
                <c:pt idx="756">
                  <c:v>0.96469007349464841</c:v>
                </c:pt>
                <c:pt idx="757">
                  <c:v>0.17696155600565278</c:v>
                </c:pt>
                <c:pt idx="758">
                  <c:v>0.7318164097211719</c:v>
                </c:pt>
                <c:pt idx="759">
                  <c:v>0.34534190323396774</c:v>
                </c:pt>
                <c:pt idx="760">
                  <c:v>0.49660540465331016</c:v>
                </c:pt>
                <c:pt idx="761">
                  <c:v>-0.75894625223034562</c:v>
                </c:pt>
                <c:pt idx="762">
                  <c:v>0.61979677004219136</c:v>
                </c:pt>
                <c:pt idx="763">
                  <c:v>-0.95057857411445079</c:v>
                </c:pt>
                <c:pt idx="764">
                  <c:v>-0.83920195464040193</c:v>
                </c:pt>
                <c:pt idx="765">
                  <c:v>0.32004215939845171</c:v>
                </c:pt>
                <c:pt idx="766">
                  <c:v>0.79478252502901348</c:v>
                </c:pt>
                <c:pt idx="767">
                  <c:v>0.20304658816889276</c:v>
                </c:pt>
                <c:pt idx="768">
                  <c:v>-0.2406538947667769</c:v>
                </c:pt>
                <c:pt idx="769">
                  <c:v>6.5670148013705631E-2</c:v>
                </c:pt>
                <c:pt idx="770">
                  <c:v>-0.30000773736104858</c:v>
                </c:pt>
                <c:pt idx="771">
                  <c:v>0.35208871224595417</c:v>
                </c:pt>
                <c:pt idx="772">
                  <c:v>-0.75741312006765393</c:v>
                </c:pt>
                <c:pt idx="773">
                  <c:v>-2.3869459666302717E-2</c:v>
                </c:pt>
                <c:pt idx="774">
                  <c:v>0.39098152267280661</c:v>
                </c:pt>
                <c:pt idx="775">
                  <c:v>-0.95249346536671342</c:v>
                </c:pt>
                <c:pt idx="776">
                  <c:v>-6.0388255142228342E-2</c:v>
                </c:pt>
                <c:pt idx="777">
                  <c:v>0.17969086878050966</c:v>
                </c:pt>
                <c:pt idx="778">
                  <c:v>0.63776971581086594</c:v>
                </c:pt>
                <c:pt idx="779">
                  <c:v>0.88079878507932707</c:v>
                </c:pt>
                <c:pt idx="780">
                  <c:v>0.93406901579371659</c:v>
                </c:pt>
                <c:pt idx="781">
                  <c:v>0.37391003957201119</c:v>
                </c:pt>
                <c:pt idx="782">
                  <c:v>-0.69625387197658317</c:v>
                </c:pt>
                <c:pt idx="783">
                  <c:v>-0.36912007999504781</c:v>
                </c:pt>
                <c:pt idx="784">
                  <c:v>-0.7996766019312429</c:v>
                </c:pt>
                <c:pt idx="785">
                  <c:v>-0.12340751507512304</c:v>
                </c:pt>
                <c:pt idx="786">
                  <c:v>0.90927974230882125</c:v>
                </c:pt>
                <c:pt idx="787">
                  <c:v>0.66667150516662099</c:v>
                </c:pt>
                <c:pt idx="788">
                  <c:v>8.4437239837200639E-2</c:v>
                </c:pt>
                <c:pt idx="789">
                  <c:v>-0.83619936759501612</c:v>
                </c:pt>
                <c:pt idx="790">
                  <c:v>-0.59279932251120626</c:v>
                </c:pt>
                <c:pt idx="791">
                  <c:v>-0.70996077022948767</c:v>
                </c:pt>
                <c:pt idx="792">
                  <c:v>0.65073922366006887</c:v>
                </c:pt>
                <c:pt idx="793">
                  <c:v>0.86315688549727931</c:v>
                </c:pt>
                <c:pt idx="794">
                  <c:v>-0.28686647688307954</c:v>
                </c:pt>
                <c:pt idx="795">
                  <c:v>0.44526742879823522</c:v>
                </c:pt>
                <c:pt idx="796">
                  <c:v>0.18077377856223076</c:v>
                </c:pt>
                <c:pt idx="797">
                  <c:v>0.21532760536868989</c:v>
                </c:pt>
                <c:pt idx="798">
                  <c:v>0.44470208688120039</c:v>
                </c:pt>
                <c:pt idx="799">
                  <c:v>-0.62060094894171303</c:v>
                </c:pt>
                <c:pt idx="800">
                  <c:v>0.86398458507888098</c:v>
                </c:pt>
                <c:pt idx="801">
                  <c:v>0.79172982437493133</c:v>
                </c:pt>
                <c:pt idx="802">
                  <c:v>-0.17401801520311522</c:v>
                </c:pt>
                <c:pt idx="803">
                  <c:v>0.69228039186537393</c:v>
                </c:pt>
                <c:pt idx="804">
                  <c:v>-0.35301715421170199</c:v>
                </c:pt>
                <c:pt idx="805">
                  <c:v>0.59702742244390095</c:v>
                </c:pt>
                <c:pt idx="806">
                  <c:v>0.6415771111198314</c:v>
                </c:pt>
                <c:pt idx="807">
                  <c:v>-0.25799764022794158</c:v>
                </c:pt>
                <c:pt idx="808">
                  <c:v>0.67249434168942246</c:v>
                </c:pt>
                <c:pt idx="809">
                  <c:v>-0.45140578597354164</c:v>
                </c:pt>
                <c:pt idx="810">
                  <c:v>-0.93264279758713942</c:v>
                </c:pt>
                <c:pt idx="811">
                  <c:v>0.30703175214870071</c:v>
                </c:pt>
                <c:pt idx="812">
                  <c:v>0.15637798473139952</c:v>
                </c:pt>
                <c:pt idx="813">
                  <c:v>0.25418597581945779</c:v>
                </c:pt>
                <c:pt idx="814">
                  <c:v>0.69781540071458514</c:v>
                </c:pt>
                <c:pt idx="815">
                  <c:v>1.6704801685163195E-2</c:v>
                </c:pt>
                <c:pt idx="816">
                  <c:v>0.15021133682833887</c:v>
                </c:pt>
                <c:pt idx="817">
                  <c:v>-0.35025732461275405</c:v>
                </c:pt>
                <c:pt idx="818">
                  <c:v>0.27435289109799355</c:v>
                </c:pt>
                <c:pt idx="819">
                  <c:v>-4.7786392524043153E-2</c:v>
                </c:pt>
                <c:pt idx="820">
                  <c:v>0.14762231093361833</c:v>
                </c:pt>
                <c:pt idx="821">
                  <c:v>0.20687197740627128</c:v>
                </c:pt>
                <c:pt idx="822">
                  <c:v>-0.28802366959130454</c:v>
                </c:pt>
                <c:pt idx="823">
                  <c:v>-0.43188590419504824</c:v>
                </c:pt>
                <c:pt idx="824">
                  <c:v>0.35240804519486413</c:v>
                </c:pt>
                <c:pt idx="825">
                  <c:v>-0.2065566190777548</c:v>
                </c:pt>
                <c:pt idx="826">
                  <c:v>-8.1640404712578496E-2</c:v>
                </c:pt>
                <c:pt idx="827">
                  <c:v>0.99017338566620894</c:v>
                </c:pt>
                <c:pt idx="828">
                  <c:v>-0.61014354118924241</c:v>
                </c:pt>
                <c:pt idx="829">
                  <c:v>0.33016180859814193</c:v>
                </c:pt>
                <c:pt idx="830">
                  <c:v>-0.80093095268332615</c:v>
                </c:pt>
                <c:pt idx="831">
                  <c:v>-0.21351133094509911</c:v>
                </c:pt>
                <c:pt idx="832">
                  <c:v>0.12609643054122888</c:v>
                </c:pt>
                <c:pt idx="833">
                  <c:v>-3.8384777439015361E-2</c:v>
                </c:pt>
                <c:pt idx="834">
                  <c:v>-0.18158317045519601</c:v>
                </c:pt>
                <c:pt idx="835">
                  <c:v>0.42271501702181769</c:v>
                </c:pt>
                <c:pt idx="836">
                  <c:v>-4.143886117942297E-2</c:v>
                </c:pt>
                <c:pt idx="837">
                  <c:v>0.81942330065550029</c:v>
                </c:pt>
                <c:pt idx="838">
                  <c:v>-0.47811668098922366</c:v>
                </c:pt>
                <c:pt idx="839">
                  <c:v>0.93731804498220606</c:v>
                </c:pt>
                <c:pt idx="840">
                  <c:v>-0.91291800230881903</c:v>
                </c:pt>
                <c:pt idx="841">
                  <c:v>-0.99291895108416228</c:v>
                </c:pt>
                <c:pt idx="842">
                  <c:v>-0.12184142173299506</c:v>
                </c:pt>
                <c:pt idx="843">
                  <c:v>0.50274980005121916</c:v>
                </c:pt>
                <c:pt idx="844">
                  <c:v>0.27565634810390005</c:v>
                </c:pt>
                <c:pt idx="845">
                  <c:v>0.84594343815038742</c:v>
                </c:pt>
                <c:pt idx="846">
                  <c:v>0.13969640682401163</c:v>
                </c:pt>
                <c:pt idx="847">
                  <c:v>-0.44439319895761287</c:v>
                </c:pt>
                <c:pt idx="848">
                  <c:v>0.77264620609640144</c:v>
                </c:pt>
                <c:pt idx="849">
                  <c:v>0.25041979260253644</c:v>
                </c:pt>
                <c:pt idx="850">
                  <c:v>-0.8039714985611941</c:v>
                </c:pt>
                <c:pt idx="851">
                  <c:v>0.23890371922109521</c:v>
                </c:pt>
                <c:pt idx="852">
                  <c:v>-0.55021814727632989</c:v>
                </c:pt>
                <c:pt idx="853">
                  <c:v>-0.16731666988049487</c:v>
                </c:pt>
                <c:pt idx="854">
                  <c:v>0.25437520627692312</c:v>
                </c:pt>
                <c:pt idx="855">
                  <c:v>0.29198821555172061</c:v>
                </c:pt>
                <c:pt idx="856">
                  <c:v>-0.59071219821376775</c:v>
                </c:pt>
                <c:pt idx="857">
                  <c:v>-9.0941983607384591E-2</c:v>
                </c:pt>
                <c:pt idx="858">
                  <c:v>-0.5435994997703939</c:v>
                </c:pt>
                <c:pt idx="859">
                  <c:v>0.18184673309878208</c:v>
                </c:pt>
                <c:pt idx="860">
                  <c:v>-8.0135923882668658E-2</c:v>
                </c:pt>
                <c:pt idx="861">
                  <c:v>0.75376678953412801</c:v>
                </c:pt>
                <c:pt idx="862">
                  <c:v>0.15859567678128283</c:v>
                </c:pt>
                <c:pt idx="863">
                  <c:v>-0.60850897035681761</c:v>
                </c:pt>
                <c:pt idx="864">
                  <c:v>0.16632899895082853</c:v>
                </c:pt>
                <c:pt idx="865">
                  <c:v>-0.19257011986654238</c:v>
                </c:pt>
                <c:pt idx="866">
                  <c:v>0.29714506708297206</c:v>
                </c:pt>
                <c:pt idx="867">
                  <c:v>-0.73000438402280809</c:v>
                </c:pt>
                <c:pt idx="868">
                  <c:v>0.9730911038294725</c:v>
                </c:pt>
                <c:pt idx="869">
                  <c:v>0.88803688827868932</c:v>
                </c:pt>
                <c:pt idx="870">
                  <c:v>-6.5783935334989163E-2</c:v>
                </c:pt>
                <c:pt idx="871">
                  <c:v>0.92500158977001368</c:v>
                </c:pt>
                <c:pt idx="872">
                  <c:v>-0.70756103837181672</c:v>
                </c:pt>
                <c:pt idx="873">
                  <c:v>-0.45379919055627727</c:v>
                </c:pt>
                <c:pt idx="874">
                  <c:v>-0.563127735868028</c:v>
                </c:pt>
                <c:pt idx="875">
                  <c:v>0.17135761188835641</c:v>
                </c:pt>
                <c:pt idx="876">
                  <c:v>-0.21233744474740179</c:v>
                </c:pt>
                <c:pt idx="877">
                  <c:v>0.49848341178867894</c:v>
                </c:pt>
                <c:pt idx="878">
                  <c:v>-0.55107094982994109</c:v>
                </c:pt>
                <c:pt idx="879">
                  <c:v>0.97416410802493614</c:v>
                </c:pt>
                <c:pt idx="880">
                  <c:v>0.23840522103914896</c:v>
                </c:pt>
                <c:pt idx="881">
                  <c:v>0.81070710607842855</c:v>
                </c:pt>
                <c:pt idx="882">
                  <c:v>0.39082582795100462</c:v>
                </c:pt>
                <c:pt idx="883">
                  <c:v>-0.89636840368462911</c:v>
                </c:pt>
                <c:pt idx="884">
                  <c:v>0.81796924749631406</c:v>
                </c:pt>
                <c:pt idx="885">
                  <c:v>0.72743655161303833</c:v>
                </c:pt>
                <c:pt idx="886">
                  <c:v>0.18147356496194855</c:v>
                </c:pt>
                <c:pt idx="887">
                  <c:v>0.2115721367390484</c:v>
                </c:pt>
                <c:pt idx="888">
                  <c:v>-0.20055642789642358</c:v>
                </c:pt>
                <c:pt idx="889">
                  <c:v>-0.23328214789775781</c:v>
                </c:pt>
                <c:pt idx="890">
                  <c:v>0.7742272326949029</c:v>
                </c:pt>
                <c:pt idx="891">
                  <c:v>0.56096084195661322</c:v>
                </c:pt>
                <c:pt idx="892">
                  <c:v>-0.57072741029684071</c:v>
                </c:pt>
                <c:pt idx="893">
                  <c:v>-2.6089116891985675E-2</c:v>
                </c:pt>
                <c:pt idx="894">
                  <c:v>0.47322587265515348</c:v>
                </c:pt>
                <c:pt idx="895">
                  <c:v>-0.38654898490363077</c:v>
                </c:pt>
                <c:pt idx="896">
                  <c:v>0.84201717639092144</c:v>
                </c:pt>
                <c:pt idx="897">
                  <c:v>0.61306961978828656</c:v>
                </c:pt>
                <c:pt idx="898">
                  <c:v>0.3991773515985535</c:v>
                </c:pt>
                <c:pt idx="899">
                  <c:v>-0.62921662717631399</c:v>
                </c:pt>
                <c:pt idx="900">
                  <c:v>0.91537771203789742</c:v>
                </c:pt>
                <c:pt idx="901">
                  <c:v>0.41818759111022286</c:v>
                </c:pt>
                <c:pt idx="902">
                  <c:v>-0.54703426254606269</c:v>
                </c:pt>
                <c:pt idx="903">
                  <c:v>-0.21367833104664857</c:v>
                </c:pt>
                <c:pt idx="904">
                  <c:v>0.40814452193205408</c:v>
                </c:pt>
                <c:pt idx="905">
                  <c:v>6.8531830578274944E-2</c:v>
                </c:pt>
                <c:pt idx="906">
                  <c:v>0.95120876521855102</c:v>
                </c:pt>
                <c:pt idx="907">
                  <c:v>-0.59370815939159227</c:v>
                </c:pt>
                <c:pt idx="908">
                  <c:v>-0.27831519888299261</c:v>
                </c:pt>
                <c:pt idx="909">
                  <c:v>0.43258683916117158</c:v>
                </c:pt>
                <c:pt idx="910">
                  <c:v>0.50479199160743393</c:v>
                </c:pt>
                <c:pt idx="911">
                  <c:v>-0.15887431850699185</c:v>
                </c:pt>
                <c:pt idx="912">
                  <c:v>-0.65956179800843495</c:v>
                </c:pt>
                <c:pt idx="913">
                  <c:v>0.80445027316700179</c:v>
                </c:pt>
                <c:pt idx="914">
                  <c:v>-0.15992203113558401</c:v>
                </c:pt>
                <c:pt idx="915">
                  <c:v>0.34479216813160662</c:v>
                </c:pt>
                <c:pt idx="916">
                  <c:v>-0.72903447937566423</c:v>
                </c:pt>
                <c:pt idx="917">
                  <c:v>-0.92168255713628522</c:v>
                </c:pt>
                <c:pt idx="918">
                  <c:v>0.71851526827209522</c:v>
                </c:pt>
                <c:pt idx="919">
                  <c:v>3.9402300822358738E-2</c:v>
                </c:pt>
                <c:pt idx="920">
                  <c:v>5.0192323556357055E-2</c:v>
                </c:pt>
                <c:pt idx="921">
                  <c:v>0.73043384957408897</c:v>
                </c:pt>
                <c:pt idx="922">
                  <c:v>-0.84357322700191961</c:v>
                </c:pt>
                <c:pt idx="923">
                  <c:v>0.41433262841156093</c:v>
                </c:pt>
                <c:pt idx="924">
                  <c:v>-0.73490858294241024</c:v>
                </c:pt>
                <c:pt idx="925">
                  <c:v>-0.49053392095818249</c:v>
                </c:pt>
                <c:pt idx="926">
                  <c:v>-0.38779727462093838</c:v>
                </c:pt>
                <c:pt idx="927">
                  <c:v>-0.65973611242114583</c:v>
                </c:pt>
                <c:pt idx="928">
                  <c:v>2.4177844278983285E-2</c:v>
                </c:pt>
                <c:pt idx="929">
                  <c:v>0.42035662055938539</c:v>
                </c:pt>
                <c:pt idx="930">
                  <c:v>-0.71993640157094263</c:v>
                </c:pt>
                <c:pt idx="931">
                  <c:v>-0.18296915198356856</c:v>
                </c:pt>
                <c:pt idx="932">
                  <c:v>-0.70849436552137357</c:v>
                </c:pt>
                <c:pt idx="933">
                  <c:v>0.47880288731916831</c:v>
                </c:pt>
                <c:pt idx="934">
                  <c:v>0.18894746962378783</c:v>
                </c:pt>
                <c:pt idx="935">
                  <c:v>-0.90448052985508198</c:v>
                </c:pt>
                <c:pt idx="936">
                  <c:v>0.37960373862748464</c:v>
                </c:pt>
                <c:pt idx="937">
                  <c:v>0.58209815096911122</c:v>
                </c:pt>
                <c:pt idx="938">
                  <c:v>-0.36347560938778867</c:v>
                </c:pt>
                <c:pt idx="939">
                  <c:v>-0.21262103379611474</c:v>
                </c:pt>
                <c:pt idx="940">
                  <c:v>-0.47398611816880232</c:v>
                </c:pt>
                <c:pt idx="941">
                  <c:v>0.53879690382212475</c:v>
                </c:pt>
                <c:pt idx="942">
                  <c:v>0.97262704181317461</c:v>
                </c:pt>
                <c:pt idx="943">
                  <c:v>0.39172656474460932</c:v>
                </c:pt>
                <c:pt idx="944">
                  <c:v>0.66158532530585901</c:v>
                </c:pt>
                <c:pt idx="945">
                  <c:v>-0.80280930862128508</c:v>
                </c:pt>
                <c:pt idx="946">
                  <c:v>-1.6651795305492323E-2</c:v>
                </c:pt>
                <c:pt idx="947">
                  <c:v>7.9702147946410395E-2</c:v>
                </c:pt>
                <c:pt idx="948">
                  <c:v>0.63632334150568104</c:v>
                </c:pt>
                <c:pt idx="949">
                  <c:v>-0.68431486203459801</c:v>
                </c:pt>
                <c:pt idx="950">
                  <c:v>0.3908950586115405</c:v>
                </c:pt>
                <c:pt idx="951">
                  <c:v>-0.28198563160267276</c:v>
                </c:pt>
                <c:pt idx="952">
                  <c:v>-0.85785712619629662</c:v>
                </c:pt>
                <c:pt idx="953">
                  <c:v>-0.50646848425501534</c:v>
                </c:pt>
                <c:pt idx="954">
                  <c:v>-0.64236651087690988</c:v>
                </c:pt>
                <c:pt idx="955">
                  <c:v>-0.91267711566047027</c:v>
                </c:pt>
                <c:pt idx="956">
                  <c:v>0.76372085905487586</c:v>
                </c:pt>
                <c:pt idx="957">
                  <c:v>-4.7550230326081522E-2</c:v>
                </c:pt>
                <c:pt idx="958">
                  <c:v>3.1814484916283359E-2</c:v>
                </c:pt>
                <c:pt idx="959">
                  <c:v>-0.14328870805391336</c:v>
                </c:pt>
                <c:pt idx="960">
                  <c:v>0.80518986045781604</c:v>
                </c:pt>
                <c:pt idx="961">
                  <c:v>-7.7506169067500075E-2</c:v>
                </c:pt>
                <c:pt idx="962">
                  <c:v>-0.78652702468275715</c:v>
                </c:pt>
                <c:pt idx="963">
                  <c:v>-0.86372696167093932</c:v>
                </c:pt>
                <c:pt idx="964">
                  <c:v>0.54213000717983673</c:v>
                </c:pt>
                <c:pt idx="965">
                  <c:v>0.38569396287890223</c:v>
                </c:pt>
                <c:pt idx="966">
                  <c:v>0.89426860907164119</c:v>
                </c:pt>
                <c:pt idx="967">
                  <c:v>0.82866358670948115</c:v>
                </c:pt>
                <c:pt idx="968">
                  <c:v>-0.63428289718015596</c:v>
                </c:pt>
                <c:pt idx="969">
                  <c:v>-0.3003546134676931</c:v>
                </c:pt>
                <c:pt idx="970">
                  <c:v>-0.81004464562749212</c:v>
                </c:pt>
                <c:pt idx="971">
                  <c:v>-0.91192725368484795</c:v>
                </c:pt>
                <c:pt idx="972">
                  <c:v>-0.79550881371423499</c:v>
                </c:pt>
                <c:pt idx="973">
                  <c:v>0.97672723922575311</c:v>
                </c:pt>
                <c:pt idx="974">
                  <c:v>-0.86189466627463096</c:v>
                </c:pt>
                <c:pt idx="975">
                  <c:v>0.72512656038789647</c:v>
                </c:pt>
                <c:pt idx="976">
                  <c:v>-0.71959229224853494</c:v>
                </c:pt>
                <c:pt idx="977">
                  <c:v>-0.81961243453483523</c:v>
                </c:pt>
                <c:pt idx="978">
                  <c:v>0.26894887493039366</c:v>
                </c:pt>
                <c:pt idx="979">
                  <c:v>0.28137559435298898</c:v>
                </c:pt>
                <c:pt idx="980">
                  <c:v>-0.16529421038255765</c:v>
                </c:pt>
                <c:pt idx="981">
                  <c:v>-0.87759183240520966</c:v>
                </c:pt>
                <c:pt idx="982">
                  <c:v>-0.86647841371459888</c:v>
                </c:pt>
                <c:pt idx="983">
                  <c:v>-0.8294841520085634</c:v>
                </c:pt>
                <c:pt idx="984">
                  <c:v>-0.19490140901190656</c:v>
                </c:pt>
                <c:pt idx="985">
                  <c:v>9.2576567281936306E-2</c:v>
                </c:pt>
                <c:pt idx="986">
                  <c:v>0.78133507965124949</c:v>
                </c:pt>
                <c:pt idx="987">
                  <c:v>0.26677341562737911</c:v>
                </c:pt>
                <c:pt idx="988">
                  <c:v>-0.98992501184315973</c:v>
                </c:pt>
                <c:pt idx="989">
                  <c:v>-0.57436933106240406</c:v>
                </c:pt>
                <c:pt idx="990">
                  <c:v>-0.51864102606286311</c:v>
                </c:pt>
                <c:pt idx="991">
                  <c:v>-0.26597427218964254</c:v>
                </c:pt>
                <c:pt idx="992">
                  <c:v>-0.70596019895386286</c:v>
                </c:pt>
                <c:pt idx="993">
                  <c:v>0.28063062853378451</c:v>
                </c:pt>
                <c:pt idx="994">
                  <c:v>0.89698982524008342</c:v>
                </c:pt>
                <c:pt idx="995">
                  <c:v>0.95966834915167598</c:v>
                </c:pt>
                <c:pt idx="996">
                  <c:v>0.14958652944821549</c:v>
                </c:pt>
                <c:pt idx="997">
                  <c:v>0.4800139862171322</c:v>
                </c:pt>
                <c:pt idx="998">
                  <c:v>-0.96433942509460779</c:v>
                </c:pt>
                <c:pt idx="999">
                  <c:v>0.69729556508247881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7E-46DE-A733-3309002D75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746064"/>
        <c:axId val="2127732624"/>
      </c:scatterChart>
      <c:valAx>
        <c:axId val="2127746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32624"/>
        <c:crosses val="autoZero"/>
        <c:crossBetween val="midCat"/>
      </c:valAx>
      <c:valAx>
        <c:axId val="212773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46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 In Circle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4560355569544812"/>
          <c:y val="5.42056057037765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227631484232803E-2"/>
          <c:y val="0.25540353229299922"/>
          <c:w val="0.85840080442199618"/>
          <c:h val="0.637189050408041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'Q6-MonteCarloSim'!$F$6:$F$1005</c:f>
              <c:numCache>
                <c:formatCode>General</c:formatCode>
                <c:ptCount val="1000"/>
                <c:pt idx="0">
                  <c:v>0</c:v>
                </c:pt>
                <c:pt idx="1">
                  <c:v>0.94345972150978241</c:v>
                </c:pt>
                <c:pt idx="2">
                  <c:v>0.2409096950427454</c:v>
                </c:pt>
                <c:pt idx="3">
                  <c:v>-0.74502543659784548</c:v>
                </c:pt>
                <c:pt idx="4">
                  <c:v>5.6276251057616911E-2</c:v>
                </c:pt>
                <c:pt idx="5">
                  <c:v>-5.1274131493358244E-2</c:v>
                </c:pt>
                <c:pt idx="6">
                  <c:v>0</c:v>
                </c:pt>
                <c:pt idx="7">
                  <c:v>0.92215442127880154</c:v>
                </c:pt>
                <c:pt idx="8">
                  <c:v>0.70145147196117286</c:v>
                </c:pt>
                <c:pt idx="9">
                  <c:v>0.43325838494123037</c:v>
                </c:pt>
                <c:pt idx="10">
                  <c:v>-0.20397225370751682</c:v>
                </c:pt>
                <c:pt idx="11">
                  <c:v>-0.48644953157281701</c:v>
                </c:pt>
                <c:pt idx="12">
                  <c:v>0</c:v>
                </c:pt>
                <c:pt idx="13">
                  <c:v>0</c:v>
                </c:pt>
                <c:pt idx="14">
                  <c:v>-0.20143089185325902</c:v>
                </c:pt>
                <c:pt idx="15">
                  <c:v>-0.97685890790747631</c:v>
                </c:pt>
                <c:pt idx="16">
                  <c:v>0</c:v>
                </c:pt>
                <c:pt idx="17">
                  <c:v>0.1159827277835066</c:v>
                </c:pt>
                <c:pt idx="18">
                  <c:v>-0.69785726548058546</c:v>
                </c:pt>
                <c:pt idx="19">
                  <c:v>-0.19744847985072655</c:v>
                </c:pt>
                <c:pt idx="20">
                  <c:v>-0.23996604010327904</c:v>
                </c:pt>
                <c:pt idx="21">
                  <c:v>0.64915806398013198</c:v>
                </c:pt>
                <c:pt idx="22">
                  <c:v>0.62222821111035298</c:v>
                </c:pt>
                <c:pt idx="23">
                  <c:v>-0.12364868577562982</c:v>
                </c:pt>
                <c:pt idx="24">
                  <c:v>0.69266399245916532</c:v>
                </c:pt>
                <c:pt idx="25">
                  <c:v>-0.43561204275459287</c:v>
                </c:pt>
                <c:pt idx="26">
                  <c:v>-0.49596569935898427</c:v>
                </c:pt>
                <c:pt idx="27">
                  <c:v>-0.23659607684334882</c:v>
                </c:pt>
                <c:pt idx="28">
                  <c:v>-0.20781461602996676</c:v>
                </c:pt>
                <c:pt idx="29">
                  <c:v>0</c:v>
                </c:pt>
                <c:pt idx="30">
                  <c:v>0.4003460995601813</c:v>
                </c:pt>
                <c:pt idx="31">
                  <c:v>0</c:v>
                </c:pt>
                <c:pt idx="32">
                  <c:v>0.21680506201128225</c:v>
                </c:pt>
                <c:pt idx="33">
                  <c:v>0.13012659984233954</c:v>
                </c:pt>
                <c:pt idx="34">
                  <c:v>0.55011971586114905</c:v>
                </c:pt>
                <c:pt idx="35">
                  <c:v>0.32449124366374571</c:v>
                </c:pt>
                <c:pt idx="36">
                  <c:v>0</c:v>
                </c:pt>
                <c:pt idx="37">
                  <c:v>0.42137422928926993</c:v>
                </c:pt>
                <c:pt idx="38">
                  <c:v>8.6674509102556918E-2</c:v>
                </c:pt>
                <c:pt idx="39">
                  <c:v>0.39812241632977785</c:v>
                </c:pt>
                <c:pt idx="40">
                  <c:v>0.66231740922055393</c:v>
                </c:pt>
                <c:pt idx="41">
                  <c:v>3.7425264583599738E-2</c:v>
                </c:pt>
                <c:pt idx="42">
                  <c:v>0</c:v>
                </c:pt>
                <c:pt idx="43">
                  <c:v>-0.87781490445431332</c:v>
                </c:pt>
                <c:pt idx="44">
                  <c:v>0.84336992561453528</c:v>
                </c:pt>
                <c:pt idx="45">
                  <c:v>0.17566559960545036</c:v>
                </c:pt>
                <c:pt idx="46">
                  <c:v>-0.72690255453986374</c:v>
                </c:pt>
                <c:pt idx="47">
                  <c:v>0.72615685444236022</c:v>
                </c:pt>
                <c:pt idx="48">
                  <c:v>-5.2513634767059614E-3</c:v>
                </c:pt>
                <c:pt idx="49">
                  <c:v>0.40661042054769481</c:v>
                </c:pt>
                <c:pt idx="50">
                  <c:v>0.68972869784085522</c:v>
                </c:pt>
                <c:pt idx="51">
                  <c:v>0.95686619120545502</c:v>
                </c:pt>
                <c:pt idx="52">
                  <c:v>0.78984293391811566</c:v>
                </c:pt>
                <c:pt idx="53">
                  <c:v>0</c:v>
                </c:pt>
                <c:pt idx="54">
                  <c:v>-8.5657563037823348E-2</c:v>
                </c:pt>
                <c:pt idx="55">
                  <c:v>-0.20788729705399267</c:v>
                </c:pt>
                <c:pt idx="56">
                  <c:v>-6.940975836333596E-2</c:v>
                </c:pt>
                <c:pt idx="57">
                  <c:v>-0.47743678889735031</c:v>
                </c:pt>
                <c:pt idx="58">
                  <c:v>-9.9662186410793829E-2</c:v>
                </c:pt>
                <c:pt idx="59">
                  <c:v>0</c:v>
                </c:pt>
                <c:pt idx="60">
                  <c:v>0</c:v>
                </c:pt>
                <c:pt idx="61">
                  <c:v>-6.938309103491247E-2</c:v>
                </c:pt>
                <c:pt idx="62">
                  <c:v>0</c:v>
                </c:pt>
                <c:pt idx="63">
                  <c:v>0.2960470640436963</c:v>
                </c:pt>
                <c:pt idx="64">
                  <c:v>-0.34640190414197591</c:v>
                </c:pt>
                <c:pt idx="65">
                  <c:v>-0.25470011114537394</c:v>
                </c:pt>
                <c:pt idx="66">
                  <c:v>0</c:v>
                </c:pt>
                <c:pt idx="67">
                  <c:v>0.2358623863733309</c:v>
                </c:pt>
                <c:pt idx="68">
                  <c:v>0.88750122419487187</c:v>
                </c:pt>
                <c:pt idx="69">
                  <c:v>0</c:v>
                </c:pt>
                <c:pt idx="70">
                  <c:v>0.57794303627225729</c:v>
                </c:pt>
                <c:pt idx="71">
                  <c:v>-0.70311567799572439</c:v>
                </c:pt>
                <c:pt idx="72">
                  <c:v>0.45442622588802606</c:v>
                </c:pt>
                <c:pt idx="73">
                  <c:v>0.38281518547636328</c:v>
                </c:pt>
                <c:pt idx="74">
                  <c:v>0.36223105358009633</c:v>
                </c:pt>
                <c:pt idx="75">
                  <c:v>7.7727004244351638E-2</c:v>
                </c:pt>
                <c:pt idx="76">
                  <c:v>0.18508382320181749</c:v>
                </c:pt>
                <c:pt idx="77">
                  <c:v>-0.66071627188408799</c:v>
                </c:pt>
                <c:pt idx="78">
                  <c:v>0.28706266955841686</c:v>
                </c:pt>
                <c:pt idx="79">
                  <c:v>-0.5465404777616123</c:v>
                </c:pt>
                <c:pt idx="80">
                  <c:v>0</c:v>
                </c:pt>
                <c:pt idx="81">
                  <c:v>0.27317102960007933</c:v>
                </c:pt>
                <c:pt idx="82">
                  <c:v>9.2479277076918054E-2</c:v>
                </c:pt>
                <c:pt idx="83">
                  <c:v>0.13942845285293859</c:v>
                </c:pt>
                <c:pt idx="84">
                  <c:v>-0.38219692997006938</c:v>
                </c:pt>
                <c:pt idx="85">
                  <c:v>0.65465450538945613</c:v>
                </c:pt>
                <c:pt idx="86">
                  <c:v>-0.53370833926990646</c:v>
                </c:pt>
                <c:pt idx="87">
                  <c:v>0</c:v>
                </c:pt>
                <c:pt idx="88">
                  <c:v>0.47743965121161946</c:v>
                </c:pt>
                <c:pt idx="89">
                  <c:v>0.40197786523731227</c:v>
                </c:pt>
                <c:pt idx="90">
                  <c:v>-0.71298835895301882</c:v>
                </c:pt>
                <c:pt idx="91">
                  <c:v>-5.4290085389908871E-2</c:v>
                </c:pt>
                <c:pt idx="92">
                  <c:v>-0.8226452170685894</c:v>
                </c:pt>
                <c:pt idx="93">
                  <c:v>0</c:v>
                </c:pt>
                <c:pt idx="94">
                  <c:v>-7.9917187854881E-2</c:v>
                </c:pt>
                <c:pt idx="95">
                  <c:v>0.54451318917702296</c:v>
                </c:pt>
                <c:pt idx="96">
                  <c:v>0</c:v>
                </c:pt>
                <c:pt idx="97">
                  <c:v>-4.3593010469631599E-2</c:v>
                </c:pt>
                <c:pt idx="98">
                  <c:v>0.42095343545512676</c:v>
                </c:pt>
                <c:pt idx="99">
                  <c:v>0.43825312542172989</c:v>
                </c:pt>
                <c:pt idx="100">
                  <c:v>-0.42836041451707674</c:v>
                </c:pt>
                <c:pt idx="101">
                  <c:v>0</c:v>
                </c:pt>
                <c:pt idx="102">
                  <c:v>-0.23270017048643643</c:v>
                </c:pt>
                <c:pt idx="103">
                  <c:v>0.18356625129057647</c:v>
                </c:pt>
                <c:pt idx="104">
                  <c:v>-0.96261246506354059</c:v>
                </c:pt>
                <c:pt idx="105">
                  <c:v>0</c:v>
                </c:pt>
                <c:pt idx="106">
                  <c:v>0</c:v>
                </c:pt>
                <c:pt idx="107">
                  <c:v>0.43858459800271077</c:v>
                </c:pt>
                <c:pt idx="108">
                  <c:v>0.26973666731314383</c:v>
                </c:pt>
                <c:pt idx="109">
                  <c:v>-0.35177911249756977</c:v>
                </c:pt>
                <c:pt idx="110">
                  <c:v>1.2295607202038816E-2</c:v>
                </c:pt>
                <c:pt idx="111">
                  <c:v>-0.54971852486238215</c:v>
                </c:pt>
                <c:pt idx="112">
                  <c:v>-0.20517807869816074</c:v>
                </c:pt>
                <c:pt idx="113">
                  <c:v>0</c:v>
                </c:pt>
                <c:pt idx="114">
                  <c:v>-0.26623852885535304</c:v>
                </c:pt>
                <c:pt idx="115">
                  <c:v>0.51343844902997526</c:v>
                </c:pt>
                <c:pt idx="116">
                  <c:v>0.33963546771523179</c:v>
                </c:pt>
                <c:pt idx="117">
                  <c:v>0</c:v>
                </c:pt>
                <c:pt idx="118">
                  <c:v>6.778477407808392E-2</c:v>
                </c:pt>
                <c:pt idx="119">
                  <c:v>-0.29883699704394706</c:v>
                </c:pt>
                <c:pt idx="120">
                  <c:v>-0.29202838019660105</c:v>
                </c:pt>
                <c:pt idx="121">
                  <c:v>-0.58748422559362634</c:v>
                </c:pt>
                <c:pt idx="122">
                  <c:v>-0.78790618292975267</c:v>
                </c:pt>
                <c:pt idx="123">
                  <c:v>0.31327872301362314</c:v>
                </c:pt>
                <c:pt idx="124">
                  <c:v>0.65255502728823034</c:v>
                </c:pt>
                <c:pt idx="125">
                  <c:v>-0.3014186189634589</c:v>
                </c:pt>
                <c:pt idx="126">
                  <c:v>0.45706417978512981</c:v>
                </c:pt>
                <c:pt idx="127">
                  <c:v>0</c:v>
                </c:pt>
                <c:pt idx="128">
                  <c:v>0.77412659031814379</c:v>
                </c:pt>
                <c:pt idx="129">
                  <c:v>0</c:v>
                </c:pt>
                <c:pt idx="130">
                  <c:v>0.4082799670656363</c:v>
                </c:pt>
                <c:pt idx="131">
                  <c:v>-0.52440346609444655</c:v>
                </c:pt>
                <c:pt idx="132">
                  <c:v>0</c:v>
                </c:pt>
                <c:pt idx="133">
                  <c:v>-2.0156355587315655E-2</c:v>
                </c:pt>
                <c:pt idx="134">
                  <c:v>-0.79695515569045039</c:v>
                </c:pt>
                <c:pt idx="135">
                  <c:v>0</c:v>
                </c:pt>
                <c:pt idx="136">
                  <c:v>0.38121395640996902</c:v>
                </c:pt>
                <c:pt idx="137">
                  <c:v>0.33188448330440945</c:v>
                </c:pt>
                <c:pt idx="138">
                  <c:v>0.1567591573105318</c:v>
                </c:pt>
                <c:pt idx="139">
                  <c:v>-0.4364841498816614</c:v>
                </c:pt>
                <c:pt idx="140">
                  <c:v>9.8262655385902065E-2</c:v>
                </c:pt>
                <c:pt idx="141">
                  <c:v>0.19486283565280749</c:v>
                </c:pt>
                <c:pt idx="142">
                  <c:v>-0.20222519611694301</c:v>
                </c:pt>
                <c:pt idx="143">
                  <c:v>0</c:v>
                </c:pt>
                <c:pt idx="144">
                  <c:v>-0.54705844320092623</c:v>
                </c:pt>
                <c:pt idx="145">
                  <c:v>0</c:v>
                </c:pt>
                <c:pt idx="146">
                  <c:v>0.53689413856342805</c:v>
                </c:pt>
                <c:pt idx="147">
                  <c:v>0</c:v>
                </c:pt>
                <c:pt idx="148">
                  <c:v>-0.66818547920170768</c:v>
                </c:pt>
                <c:pt idx="149">
                  <c:v>0.36453619735285137</c:v>
                </c:pt>
                <c:pt idx="150">
                  <c:v>-0.61226929925905815</c:v>
                </c:pt>
                <c:pt idx="151">
                  <c:v>0.33487535306499261</c:v>
                </c:pt>
                <c:pt idx="152">
                  <c:v>-0.30931167947879668</c:v>
                </c:pt>
                <c:pt idx="153">
                  <c:v>0.65656052329772785</c:v>
                </c:pt>
                <c:pt idx="154">
                  <c:v>-0.8003420659168905</c:v>
                </c:pt>
                <c:pt idx="155">
                  <c:v>-0.56970911072418851</c:v>
                </c:pt>
                <c:pt idx="156">
                  <c:v>0</c:v>
                </c:pt>
                <c:pt idx="157">
                  <c:v>-0.14840162517273314</c:v>
                </c:pt>
                <c:pt idx="158">
                  <c:v>-0.38343955738621638</c:v>
                </c:pt>
                <c:pt idx="159">
                  <c:v>-0.46501626297485243</c:v>
                </c:pt>
                <c:pt idx="160">
                  <c:v>-3.8367566206443104E-2</c:v>
                </c:pt>
                <c:pt idx="161">
                  <c:v>0</c:v>
                </c:pt>
                <c:pt idx="162">
                  <c:v>-0.14909852735979978</c:v>
                </c:pt>
                <c:pt idx="163">
                  <c:v>-0.68329365644956463</c:v>
                </c:pt>
                <c:pt idx="164">
                  <c:v>-0.37344699610268295</c:v>
                </c:pt>
                <c:pt idx="165">
                  <c:v>-0.7103234402219627</c:v>
                </c:pt>
                <c:pt idx="166">
                  <c:v>-0.25379099220261137</c:v>
                </c:pt>
                <c:pt idx="167">
                  <c:v>-0.34383169820658543</c:v>
                </c:pt>
                <c:pt idx="168">
                  <c:v>-0.84952193172697577</c:v>
                </c:pt>
                <c:pt idx="169">
                  <c:v>-0.54712686672923083</c:v>
                </c:pt>
                <c:pt idx="170">
                  <c:v>-0.18755392827359452</c:v>
                </c:pt>
                <c:pt idx="171">
                  <c:v>0</c:v>
                </c:pt>
                <c:pt idx="172">
                  <c:v>0</c:v>
                </c:pt>
                <c:pt idx="173">
                  <c:v>0.2331079987311615</c:v>
                </c:pt>
                <c:pt idx="174">
                  <c:v>0.17244663618310563</c:v>
                </c:pt>
                <c:pt idx="175">
                  <c:v>0.98007726273574347</c:v>
                </c:pt>
                <c:pt idx="176">
                  <c:v>0</c:v>
                </c:pt>
                <c:pt idx="177">
                  <c:v>0</c:v>
                </c:pt>
                <c:pt idx="178">
                  <c:v>0.42024348373617637</c:v>
                </c:pt>
                <c:pt idx="179">
                  <c:v>-0.28610919245386324</c:v>
                </c:pt>
                <c:pt idx="180">
                  <c:v>0.74883323749821895</c:v>
                </c:pt>
                <c:pt idx="181">
                  <c:v>-0.27389661292448175</c:v>
                </c:pt>
                <c:pt idx="182">
                  <c:v>-0.40857593401037406</c:v>
                </c:pt>
                <c:pt idx="183">
                  <c:v>0</c:v>
                </c:pt>
                <c:pt idx="184">
                  <c:v>-0.81588442482789314</c:v>
                </c:pt>
                <c:pt idx="185">
                  <c:v>0</c:v>
                </c:pt>
                <c:pt idx="186">
                  <c:v>-0.34599716560235017</c:v>
                </c:pt>
                <c:pt idx="187">
                  <c:v>0</c:v>
                </c:pt>
                <c:pt idx="188">
                  <c:v>-0.78956255700716871</c:v>
                </c:pt>
                <c:pt idx="189">
                  <c:v>0.32618104902446721</c:v>
                </c:pt>
                <c:pt idx="190">
                  <c:v>0.58067190636130128</c:v>
                </c:pt>
                <c:pt idx="191">
                  <c:v>0.41822604002109465</c:v>
                </c:pt>
                <c:pt idx="192">
                  <c:v>0</c:v>
                </c:pt>
                <c:pt idx="193">
                  <c:v>-0.77462929813822723</c:v>
                </c:pt>
                <c:pt idx="194">
                  <c:v>-0.29146307681398942</c:v>
                </c:pt>
                <c:pt idx="195">
                  <c:v>0.11702183378485431</c:v>
                </c:pt>
                <c:pt idx="196">
                  <c:v>0.46599265863341954</c:v>
                </c:pt>
                <c:pt idx="197">
                  <c:v>-0.73041074598094902</c:v>
                </c:pt>
                <c:pt idx="198">
                  <c:v>0.13061031882047058</c:v>
                </c:pt>
                <c:pt idx="199">
                  <c:v>0</c:v>
                </c:pt>
                <c:pt idx="200">
                  <c:v>0</c:v>
                </c:pt>
                <c:pt idx="201">
                  <c:v>-0.24590411753837982</c:v>
                </c:pt>
                <c:pt idx="202">
                  <c:v>0.51826534562871318</c:v>
                </c:pt>
                <c:pt idx="203">
                  <c:v>-0.6771569944186937</c:v>
                </c:pt>
                <c:pt idx="204">
                  <c:v>0</c:v>
                </c:pt>
                <c:pt idx="205">
                  <c:v>0</c:v>
                </c:pt>
                <c:pt idx="206">
                  <c:v>-0.94364017211844842</c:v>
                </c:pt>
                <c:pt idx="207">
                  <c:v>-0.2271730022946461</c:v>
                </c:pt>
                <c:pt idx="208">
                  <c:v>-0.76543477268146298</c:v>
                </c:pt>
                <c:pt idx="209">
                  <c:v>-0.85040206610081359</c:v>
                </c:pt>
                <c:pt idx="210">
                  <c:v>-0.46551482681582068</c:v>
                </c:pt>
                <c:pt idx="211">
                  <c:v>-6.7208507044335342E-2</c:v>
                </c:pt>
                <c:pt idx="212">
                  <c:v>0</c:v>
                </c:pt>
                <c:pt idx="213">
                  <c:v>0.46989225443897942</c:v>
                </c:pt>
                <c:pt idx="214">
                  <c:v>-0.33452775751056896</c:v>
                </c:pt>
                <c:pt idx="215">
                  <c:v>-5.8113548889930255E-2</c:v>
                </c:pt>
                <c:pt idx="216">
                  <c:v>0</c:v>
                </c:pt>
                <c:pt idx="217">
                  <c:v>0</c:v>
                </c:pt>
                <c:pt idx="218">
                  <c:v>0.44419839596069322</c:v>
                </c:pt>
                <c:pt idx="219">
                  <c:v>0</c:v>
                </c:pt>
                <c:pt idx="220">
                  <c:v>0</c:v>
                </c:pt>
                <c:pt idx="221">
                  <c:v>-0.66210547456058078</c:v>
                </c:pt>
                <c:pt idx="222">
                  <c:v>7.213173409713125E-2</c:v>
                </c:pt>
                <c:pt idx="223">
                  <c:v>0.48907876101576897</c:v>
                </c:pt>
                <c:pt idx="224">
                  <c:v>0</c:v>
                </c:pt>
                <c:pt idx="225">
                  <c:v>-0.29643631372104373</c:v>
                </c:pt>
                <c:pt idx="226">
                  <c:v>0</c:v>
                </c:pt>
                <c:pt idx="227">
                  <c:v>-0.58604932488149974</c:v>
                </c:pt>
                <c:pt idx="228">
                  <c:v>-0.14428833903612603</c:v>
                </c:pt>
                <c:pt idx="229">
                  <c:v>-0.2006460528822902</c:v>
                </c:pt>
                <c:pt idx="230">
                  <c:v>0</c:v>
                </c:pt>
                <c:pt idx="231">
                  <c:v>-0.33396736631957147</c:v>
                </c:pt>
                <c:pt idx="232">
                  <c:v>-0.69242989220887785</c:v>
                </c:pt>
                <c:pt idx="233">
                  <c:v>0.51234021267152952</c:v>
                </c:pt>
                <c:pt idx="234">
                  <c:v>2.7428793502135784E-2</c:v>
                </c:pt>
                <c:pt idx="235">
                  <c:v>0</c:v>
                </c:pt>
                <c:pt idx="236">
                  <c:v>-9.6780187235650406E-2</c:v>
                </c:pt>
                <c:pt idx="237">
                  <c:v>0</c:v>
                </c:pt>
                <c:pt idx="238">
                  <c:v>0</c:v>
                </c:pt>
                <c:pt idx="239">
                  <c:v>1.0772496975419266E-2</c:v>
                </c:pt>
                <c:pt idx="240">
                  <c:v>-0.53221861253981317</c:v>
                </c:pt>
                <c:pt idx="241">
                  <c:v>0.14415590967220981</c:v>
                </c:pt>
                <c:pt idx="242">
                  <c:v>-0.78200623618530618</c:v>
                </c:pt>
                <c:pt idx="243">
                  <c:v>0</c:v>
                </c:pt>
                <c:pt idx="244">
                  <c:v>0</c:v>
                </c:pt>
                <c:pt idx="245">
                  <c:v>0.16843000346755299</c:v>
                </c:pt>
                <c:pt idx="246">
                  <c:v>-0.58088987672587433</c:v>
                </c:pt>
                <c:pt idx="247">
                  <c:v>0.94120145711105607</c:v>
                </c:pt>
                <c:pt idx="248">
                  <c:v>-0.39553126999407273</c:v>
                </c:pt>
                <c:pt idx="249">
                  <c:v>-0.75565836845477108</c:v>
                </c:pt>
                <c:pt idx="250">
                  <c:v>0.81948320629582638</c:v>
                </c:pt>
                <c:pt idx="251">
                  <c:v>-5.1099344791523116E-3</c:v>
                </c:pt>
                <c:pt idx="252">
                  <c:v>0.33647815510700219</c:v>
                </c:pt>
                <c:pt idx="253">
                  <c:v>-8.5066309509044702E-2</c:v>
                </c:pt>
                <c:pt idx="254">
                  <c:v>-0.1829297847294924</c:v>
                </c:pt>
                <c:pt idx="255">
                  <c:v>-0.27450678865555989</c:v>
                </c:pt>
                <c:pt idx="256">
                  <c:v>0.27851468215067632</c:v>
                </c:pt>
                <c:pt idx="257">
                  <c:v>0.2393196618545359</c:v>
                </c:pt>
                <c:pt idx="258">
                  <c:v>0.28344121226706176</c:v>
                </c:pt>
                <c:pt idx="259">
                  <c:v>5.7760665232971187E-2</c:v>
                </c:pt>
                <c:pt idx="260">
                  <c:v>0.25349598207556245</c:v>
                </c:pt>
                <c:pt idx="261">
                  <c:v>0</c:v>
                </c:pt>
                <c:pt idx="262">
                  <c:v>-0.77434553132552542</c:v>
                </c:pt>
                <c:pt idx="263">
                  <c:v>-0.87161241096168229</c:v>
                </c:pt>
                <c:pt idx="264">
                  <c:v>0</c:v>
                </c:pt>
                <c:pt idx="265">
                  <c:v>0.38985156417494227</c:v>
                </c:pt>
                <c:pt idx="266">
                  <c:v>-0.89752516956963269</c:v>
                </c:pt>
                <c:pt idx="267">
                  <c:v>0.69199859723947332</c:v>
                </c:pt>
                <c:pt idx="268">
                  <c:v>0.26964456206574039</c:v>
                </c:pt>
                <c:pt idx="269">
                  <c:v>-0.38532399832074282</c:v>
                </c:pt>
                <c:pt idx="270">
                  <c:v>-0.56643309260169938</c:v>
                </c:pt>
                <c:pt idx="271">
                  <c:v>0.25462326382857037</c:v>
                </c:pt>
                <c:pt idx="272">
                  <c:v>-0.61640967610476816</c:v>
                </c:pt>
                <c:pt idx="273">
                  <c:v>-6.064838645353654E-2</c:v>
                </c:pt>
                <c:pt idx="274">
                  <c:v>-1.4023182746643714E-2</c:v>
                </c:pt>
                <c:pt idx="275">
                  <c:v>-0.42159519639194132</c:v>
                </c:pt>
                <c:pt idx="276">
                  <c:v>-0.9497838393424971</c:v>
                </c:pt>
                <c:pt idx="277">
                  <c:v>-0.9289383015878987</c:v>
                </c:pt>
                <c:pt idx="278">
                  <c:v>0.37756057133686194</c:v>
                </c:pt>
                <c:pt idx="279">
                  <c:v>0.7906262461829312</c:v>
                </c:pt>
                <c:pt idx="280">
                  <c:v>0</c:v>
                </c:pt>
                <c:pt idx="281">
                  <c:v>0</c:v>
                </c:pt>
                <c:pt idx="282">
                  <c:v>-0.52246668885562619</c:v>
                </c:pt>
                <c:pt idx="283">
                  <c:v>0.8160265495420731</c:v>
                </c:pt>
                <c:pt idx="284">
                  <c:v>0.42723821621826819</c:v>
                </c:pt>
                <c:pt idx="285">
                  <c:v>0</c:v>
                </c:pt>
                <c:pt idx="286">
                  <c:v>0</c:v>
                </c:pt>
                <c:pt idx="287">
                  <c:v>0.1582812330015646</c:v>
                </c:pt>
                <c:pt idx="288">
                  <c:v>0.48309922836874031</c:v>
                </c:pt>
                <c:pt idx="289">
                  <c:v>-0.81500287259411253</c:v>
                </c:pt>
                <c:pt idx="290">
                  <c:v>-0.44710231657147204</c:v>
                </c:pt>
                <c:pt idx="291">
                  <c:v>0.41640284621733481</c:v>
                </c:pt>
                <c:pt idx="292">
                  <c:v>-0.60814997183740038</c:v>
                </c:pt>
                <c:pt idx="293">
                  <c:v>0.83895305938661457</c:v>
                </c:pt>
                <c:pt idx="294">
                  <c:v>0.79470579233201688</c:v>
                </c:pt>
                <c:pt idx="295">
                  <c:v>0.74911368171216886</c:v>
                </c:pt>
                <c:pt idx="296">
                  <c:v>-0.94701760315357308</c:v>
                </c:pt>
                <c:pt idx="297">
                  <c:v>4.4093672558698227E-2</c:v>
                </c:pt>
                <c:pt idx="298">
                  <c:v>-0.22476007288130373</c:v>
                </c:pt>
                <c:pt idx="299">
                  <c:v>0.88252018586011549</c:v>
                </c:pt>
                <c:pt idx="300">
                  <c:v>0</c:v>
                </c:pt>
                <c:pt idx="301">
                  <c:v>-0.71348233272529504</c:v>
                </c:pt>
                <c:pt idx="302">
                  <c:v>-0.11989511251521479</c:v>
                </c:pt>
                <c:pt idx="303">
                  <c:v>0</c:v>
                </c:pt>
                <c:pt idx="304">
                  <c:v>0.47913351836973872</c:v>
                </c:pt>
                <c:pt idx="305">
                  <c:v>0</c:v>
                </c:pt>
                <c:pt idx="306">
                  <c:v>0.10195417358479153</c:v>
                </c:pt>
                <c:pt idx="307">
                  <c:v>0.47939855361639405</c:v>
                </c:pt>
                <c:pt idx="308">
                  <c:v>0.74997586527170368</c:v>
                </c:pt>
                <c:pt idx="309">
                  <c:v>0</c:v>
                </c:pt>
                <c:pt idx="310">
                  <c:v>0.5116331041141744</c:v>
                </c:pt>
                <c:pt idx="311">
                  <c:v>-0.74216597502374593</c:v>
                </c:pt>
                <c:pt idx="312">
                  <c:v>0</c:v>
                </c:pt>
                <c:pt idx="313">
                  <c:v>-0.12445500539634025</c:v>
                </c:pt>
                <c:pt idx="314">
                  <c:v>0</c:v>
                </c:pt>
                <c:pt idx="315">
                  <c:v>-0.45095309509206816</c:v>
                </c:pt>
                <c:pt idx="316">
                  <c:v>0</c:v>
                </c:pt>
                <c:pt idx="317">
                  <c:v>0.38807630421846251</c:v>
                </c:pt>
                <c:pt idx="318">
                  <c:v>0.4408030775669658</c:v>
                </c:pt>
                <c:pt idx="319">
                  <c:v>-0.77234817227295882</c:v>
                </c:pt>
                <c:pt idx="320">
                  <c:v>-0.29355462287080769</c:v>
                </c:pt>
                <c:pt idx="321">
                  <c:v>-0.53872986621476548</c:v>
                </c:pt>
                <c:pt idx="322">
                  <c:v>0.69014531483559494</c:v>
                </c:pt>
                <c:pt idx="323">
                  <c:v>-0.80448346487333966</c:v>
                </c:pt>
                <c:pt idx="324">
                  <c:v>0</c:v>
                </c:pt>
                <c:pt idx="325">
                  <c:v>-0.20954436636070106</c:v>
                </c:pt>
                <c:pt idx="326">
                  <c:v>0.74811846638681034</c:v>
                </c:pt>
                <c:pt idx="327">
                  <c:v>-0.49245016244396966</c:v>
                </c:pt>
                <c:pt idx="328">
                  <c:v>0</c:v>
                </c:pt>
                <c:pt idx="329">
                  <c:v>1.9296556753712446E-2</c:v>
                </c:pt>
                <c:pt idx="330">
                  <c:v>-0.2648260594435301</c:v>
                </c:pt>
                <c:pt idx="331">
                  <c:v>-0.17039753822562487</c:v>
                </c:pt>
                <c:pt idx="332">
                  <c:v>-0.40787723645759888</c:v>
                </c:pt>
                <c:pt idx="333">
                  <c:v>-0.17738514585136178</c:v>
                </c:pt>
                <c:pt idx="334">
                  <c:v>0.30137177839758467</c:v>
                </c:pt>
                <c:pt idx="335">
                  <c:v>-0.14245455085145786</c:v>
                </c:pt>
                <c:pt idx="336">
                  <c:v>0</c:v>
                </c:pt>
                <c:pt idx="337">
                  <c:v>0</c:v>
                </c:pt>
                <c:pt idx="338">
                  <c:v>0.41365706216010412</c:v>
                </c:pt>
                <c:pt idx="339">
                  <c:v>0</c:v>
                </c:pt>
                <c:pt idx="340">
                  <c:v>-0.75843142254010343</c:v>
                </c:pt>
                <c:pt idx="341">
                  <c:v>-0.32289122794601544</c:v>
                </c:pt>
                <c:pt idx="342">
                  <c:v>0.46101313273215827</c:v>
                </c:pt>
                <c:pt idx="343">
                  <c:v>-0.48477330293633125</c:v>
                </c:pt>
                <c:pt idx="344">
                  <c:v>-2.5477941242469049E-2</c:v>
                </c:pt>
                <c:pt idx="345">
                  <c:v>0.73458324909604666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-3.2200038020819832E-2</c:v>
                </c:pt>
                <c:pt idx="350">
                  <c:v>0</c:v>
                </c:pt>
                <c:pt idx="351">
                  <c:v>-0.14327561049487958</c:v>
                </c:pt>
                <c:pt idx="352">
                  <c:v>0</c:v>
                </c:pt>
                <c:pt idx="353">
                  <c:v>0.44128789052975925</c:v>
                </c:pt>
                <c:pt idx="354">
                  <c:v>-0.35142993540729295</c:v>
                </c:pt>
                <c:pt idx="355">
                  <c:v>-0.24003558498794697</c:v>
                </c:pt>
                <c:pt idx="356">
                  <c:v>-0.71272191527747175</c:v>
                </c:pt>
                <c:pt idx="357">
                  <c:v>0.2058557775867782</c:v>
                </c:pt>
                <c:pt idx="358">
                  <c:v>0.28936904872848057</c:v>
                </c:pt>
                <c:pt idx="359">
                  <c:v>0.30103229287216782</c:v>
                </c:pt>
                <c:pt idx="360">
                  <c:v>0.4954932756377437</c:v>
                </c:pt>
                <c:pt idx="361">
                  <c:v>-0.54290336107015658</c:v>
                </c:pt>
                <c:pt idx="362">
                  <c:v>0.27230486384317909</c:v>
                </c:pt>
                <c:pt idx="363">
                  <c:v>0</c:v>
                </c:pt>
                <c:pt idx="364">
                  <c:v>0.28605051785851066</c:v>
                </c:pt>
                <c:pt idx="365">
                  <c:v>-0.12486667471597812</c:v>
                </c:pt>
                <c:pt idx="366">
                  <c:v>0.40458482210013647</c:v>
                </c:pt>
                <c:pt idx="367">
                  <c:v>0.30823343617912058</c:v>
                </c:pt>
                <c:pt idx="368">
                  <c:v>0</c:v>
                </c:pt>
                <c:pt idx="369">
                  <c:v>-0.40474543201307411</c:v>
                </c:pt>
                <c:pt idx="370">
                  <c:v>0</c:v>
                </c:pt>
                <c:pt idx="371">
                  <c:v>-0.22783820918261766</c:v>
                </c:pt>
                <c:pt idx="372">
                  <c:v>0.51111648423088663</c:v>
                </c:pt>
                <c:pt idx="373">
                  <c:v>0.77065977130340846</c:v>
                </c:pt>
                <c:pt idx="374">
                  <c:v>-0.65254358597902207</c:v>
                </c:pt>
                <c:pt idx="375">
                  <c:v>0</c:v>
                </c:pt>
                <c:pt idx="376">
                  <c:v>-0.54854417030625169</c:v>
                </c:pt>
                <c:pt idx="377">
                  <c:v>-0.29675990863167279</c:v>
                </c:pt>
                <c:pt idx="378">
                  <c:v>0.23362663840905151</c:v>
                </c:pt>
                <c:pt idx="379">
                  <c:v>-0.28696104924422361</c:v>
                </c:pt>
                <c:pt idx="380">
                  <c:v>-0.3699259501891019</c:v>
                </c:pt>
                <c:pt idx="381">
                  <c:v>-0.48268762049425851</c:v>
                </c:pt>
                <c:pt idx="382">
                  <c:v>-5.8943950844579041E-2</c:v>
                </c:pt>
                <c:pt idx="383">
                  <c:v>1.4013057898219605E-2</c:v>
                </c:pt>
                <c:pt idx="384">
                  <c:v>0.7681962007878369</c:v>
                </c:pt>
                <c:pt idx="385">
                  <c:v>-0.79855177387957865</c:v>
                </c:pt>
                <c:pt idx="386">
                  <c:v>-0.66806487502383405</c:v>
                </c:pt>
                <c:pt idx="387">
                  <c:v>0</c:v>
                </c:pt>
                <c:pt idx="388">
                  <c:v>0</c:v>
                </c:pt>
                <c:pt idx="389">
                  <c:v>-0.20154484586789612</c:v>
                </c:pt>
                <c:pt idx="390">
                  <c:v>-0.68839566348984782</c:v>
                </c:pt>
                <c:pt idx="391">
                  <c:v>0</c:v>
                </c:pt>
                <c:pt idx="392">
                  <c:v>-0.54695204290729205</c:v>
                </c:pt>
                <c:pt idx="393">
                  <c:v>-0.89339560806220319</c:v>
                </c:pt>
                <c:pt idx="394">
                  <c:v>9.5686854087728035E-2</c:v>
                </c:pt>
                <c:pt idx="395">
                  <c:v>0.48358680020622313</c:v>
                </c:pt>
                <c:pt idx="396">
                  <c:v>-3.8446833787722401E-2</c:v>
                </c:pt>
                <c:pt idx="397">
                  <c:v>-0.13481765795147038</c:v>
                </c:pt>
                <c:pt idx="398">
                  <c:v>-0.40180849062026236</c:v>
                </c:pt>
                <c:pt idx="399">
                  <c:v>0.39683011937822621</c:v>
                </c:pt>
                <c:pt idx="400">
                  <c:v>0.15508645409432131</c:v>
                </c:pt>
                <c:pt idx="401">
                  <c:v>-0.29344567864847604</c:v>
                </c:pt>
                <c:pt idx="402">
                  <c:v>1.1981430259764725E-2</c:v>
                </c:pt>
                <c:pt idx="403">
                  <c:v>-0.12104687796585489</c:v>
                </c:pt>
                <c:pt idx="404">
                  <c:v>0</c:v>
                </c:pt>
                <c:pt idx="405">
                  <c:v>8.1502150738809176E-2</c:v>
                </c:pt>
                <c:pt idx="406">
                  <c:v>-0.7574717663113042</c:v>
                </c:pt>
                <c:pt idx="407">
                  <c:v>-0.38513728544971526</c:v>
                </c:pt>
                <c:pt idx="408">
                  <c:v>0</c:v>
                </c:pt>
                <c:pt idx="409">
                  <c:v>0</c:v>
                </c:pt>
                <c:pt idx="410">
                  <c:v>0.34910510545119311</c:v>
                </c:pt>
                <c:pt idx="411">
                  <c:v>1.4796781623224176E-2</c:v>
                </c:pt>
                <c:pt idx="412">
                  <c:v>-0.29632568860302766</c:v>
                </c:pt>
                <c:pt idx="413">
                  <c:v>-0.63850728197149875</c:v>
                </c:pt>
                <c:pt idx="414">
                  <c:v>0.14383591264467621</c:v>
                </c:pt>
                <c:pt idx="415">
                  <c:v>-0.34667574540158186</c:v>
                </c:pt>
                <c:pt idx="416">
                  <c:v>-0.37776643067068205</c:v>
                </c:pt>
                <c:pt idx="417">
                  <c:v>0.87363326483591108</c:v>
                </c:pt>
                <c:pt idx="418">
                  <c:v>-0.36323531406831089</c:v>
                </c:pt>
                <c:pt idx="419">
                  <c:v>0.46544128339655289</c:v>
                </c:pt>
                <c:pt idx="420">
                  <c:v>-0.54089459733338363</c:v>
                </c:pt>
                <c:pt idx="421">
                  <c:v>0.86688926506452546</c:v>
                </c:pt>
                <c:pt idx="422">
                  <c:v>0</c:v>
                </c:pt>
                <c:pt idx="423">
                  <c:v>-0.63611346674650693</c:v>
                </c:pt>
                <c:pt idx="424">
                  <c:v>0.34439715382442704</c:v>
                </c:pt>
                <c:pt idx="425">
                  <c:v>0.40091030553370177</c:v>
                </c:pt>
                <c:pt idx="426">
                  <c:v>0</c:v>
                </c:pt>
                <c:pt idx="427">
                  <c:v>-0.24448502543829442</c:v>
                </c:pt>
                <c:pt idx="428">
                  <c:v>0.47759650080932703</c:v>
                </c:pt>
                <c:pt idx="429">
                  <c:v>-0.43116562039504958</c:v>
                </c:pt>
                <c:pt idx="430">
                  <c:v>0</c:v>
                </c:pt>
                <c:pt idx="431">
                  <c:v>0.10418684086674768</c:v>
                </c:pt>
                <c:pt idx="432">
                  <c:v>0.36484999292358911</c:v>
                </c:pt>
                <c:pt idx="433">
                  <c:v>0</c:v>
                </c:pt>
                <c:pt idx="434">
                  <c:v>0.91545479655842743</c:v>
                </c:pt>
                <c:pt idx="435">
                  <c:v>0.93539144101398297</c:v>
                </c:pt>
                <c:pt idx="436">
                  <c:v>0</c:v>
                </c:pt>
                <c:pt idx="437">
                  <c:v>-0.15457959869460836</c:v>
                </c:pt>
                <c:pt idx="438">
                  <c:v>0.36722173247729373</c:v>
                </c:pt>
                <c:pt idx="439">
                  <c:v>-0.51985785485511626</c:v>
                </c:pt>
                <c:pt idx="440">
                  <c:v>0.98233759076380567</c:v>
                </c:pt>
                <c:pt idx="441">
                  <c:v>0</c:v>
                </c:pt>
                <c:pt idx="442">
                  <c:v>0.52715795535134236</c:v>
                </c:pt>
                <c:pt idx="443">
                  <c:v>0.37978270636838474</c:v>
                </c:pt>
                <c:pt idx="444">
                  <c:v>0.59077427929712045</c:v>
                </c:pt>
                <c:pt idx="445">
                  <c:v>0.36140221007327789</c:v>
                </c:pt>
                <c:pt idx="446">
                  <c:v>0.6637534485731087</c:v>
                </c:pt>
                <c:pt idx="447">
                  <c:v>0</c:v>
                </c:pt>
                <c:pt idx="448">
                  <c:v>-0.88714175492672931</c:v>
                </c:pt>
                <c:pt idx="449">
                  <c:v>0</c:v>
                </c:pt>
                <c:pt idx="450">
                  <c:v>0.4543494359441913</c:v>
                </c:pt>
                <c:pt idx="451">
                  <c:v>0.39828681414136669</c:v>
                </c:pt>
                <c:pt idx="452">
                  <c:v>0.58671455937517636</c:v>
                </c:pt>
                <c:pt idx="453">
                  <c:v>-0.98705302153535435</c:v>
                </c:pt>
                <c:pt idx="454">
                  <c:v>0</c:v>
                </c:pt>
                <c:pt idx="455">
                  <c:v>0.31659315459198689</c:v>
                </c:pt>
                <c:pt idx="456">
                  <c:v>-0.44522696851535715</c:v>
                </c:pt>
                <c:pt idx="457">
                  <c:v>0.15811404565140164</c:v>
                </c:pt>
                <c:pt idx="458">
                  <c:v>0</c:v>
                </c:pt>
                <c:pt idx="459">
                  <c:v>4.1512090370590338E-2</c:v>
                </c:pt>
                <c:pt idx="460">
                  <c:v>0.61669442344789038</c:v>
                </c:pt>
                <c:pt idx="461">
                  <c:v>0</c:v>
                </c:pt>
                <c:pt idx="462">
                  <c:v>0.38372606608896898</c:v>
                </c:pt>
                <c:pt idx="463">
                  <c:v>0</c:v>
                </c:pt>
                <c:pt idx="464">
                  <c:v>-0.74688217372016119</c:v>
                </c:pt>
                <c:pt idx="465">
                  <c:v>0.46036360560756062</c:v>
                </c:pt>
                <c:pt idx="466">
                  <c:v>0</c:v>
                </c:pt>
                <c:pt idx="467">
                  <c:v>0</c:v>
                </c:pt>
                <c:pt idx="468">
                  <c:v>0.8868774307215066</c:v>
                </c:pt>
                <c:pt idx="469">
                  <c:v>3.1112802781419147E-2</c:v>
                </c:pt>
                <c:pt idx="470">
                  <c:v>-0.21705102808440935</c:v>
                </c:pt>
                <c:pt idx="471">
                  <c:v>1.9271452135678269E-2</c:v>
                </c:pt>
                <c:pt idx="472">
                  <c:v>-0.88282807771441973</c:v>
                </c:pt>
                <c:pt idx="473">
                  <c:v>0.81563344970005147</c:v>
                </c:pt>
                <c:pt idx="474">
                  <c:v>-0.15864625361612128</c:v>
                </c:pt>
                <c:pt idx="475">
                  <c:v>0</c:v>
                </c:pt>
                <c:pt idx="476">
                  <c:v>-0.37367337391565081</c:v>
                </c:pt>
                <c:pt idx="477">
                  <c:v>6.0433721992418699E-2</c:v>
                </c:pt>
                <c:pt idx="478">
                  <c:v>0</c:v>
                </c:pt>
                <c:pt idx="479">
                  <c:v>-0.1973361615385234</c:v>
                </c:pt>
                <c:pt idx="480">
                  <c:v>0.52429189125627507</c:v>
                </c:pt>
                <c:pt idx="481">
                  <c:v>0.18603070775942565</c:v>
                </c:pt>
                <c:pt idx="482">
                  <c:v>0.78138190707180377</c:v>
                </c:pt>
                <c:pt idx="483">
                  <c:v>0</c:v>
                </c:pt>
                <c:pt idx="484">
                  <c:v>0</c:v>
                </c:pt>
                <c:pt idx="485">
                  <c:v>-0.5939586435604407</c:v>
                </c:pt>
                <c:pt idx="486">
                  <c:v>-7.9293893499077672E-2</c:v>
                </c:pt>
                <c:pt idx="487">
                  <c:v>-0.18693601406647642</c:v>
                </c:pt>
                <c:pt idx="488">
                  <c:v>-0.57445956952290089</c:v>
                </c:pt>
                <c:pt idx="489">
                  <c:v>0.57049313087506959</c:v>
                </c:pt>
                <c:pt idx="490">
                  <c:v>-0.1483620707824207</c:v>
                </c:pt>
                <c:pt idx="491">
                  <c:v>0</c:v>
                </c:pt>
                <c:pt idx="492">
                  <c:v>-0.24472999208914303</c:v>
                </c:pt>
                <c:pt idx="493">
                  <c:v>0</c:v>
                </c:pt>
                <c:pt idx="494">
                  <c:v>0.77453698487795353</c:v>
                </c:pt>
                <c:pt idx="495">
                  <c:v>0.45972574904812147</c:v>
                </c:pt>
                <c:pt idx="496">
                  <c:v>0</c:v>
                </c:pt>
                <c:pt idx="497">
                  <c:v>-6.4734052647940521E-2</c:v>
                </c:pt>
                <c:pt idx="498">
                  <c:v>0.36809379338397918</c:v>
                </c:pt>
                <c:pt idx="499">
                  <c:v>0.84654531120442722</c:v>
                </c:pt>
                <c:pt idx="500">
                  <c:v>0</c:v>
                </c:pt>
                <c:pt idx="501">
                  <c:v>0.58925766734970964</c:v>
                </c:pt>
                <c:pt idx="502">
                  <c:v>-0.87130544683596201</c:v>
                </c:pt>
                <c:pt idx="503">
                  <c:v>0.42478384831466021</c:v>
                </c:pt>
                <c:pt idx="504">
                  <c:v>0</c:v>
                </c:pt>
                <c:pt idx="505">
                  <c:v>0.26550820754646254</c:v>
                </c:pt>
                <c:pt idx="506">
                  <c:v>-0.69006106536097489</c:v>
                </c:pt>
                <c:pt idx="507">
                  <c:v>0.30803712672725414</c:v>
                </c:pt>
                <c:pt idx="508">
                  <c:v>0.52137002638642826</c:v>
                </c:pt>
                <c:pt idx="509">
                  <c:v>-0.86763416800743465</c:v>
                </c:pt>
                <c:pt idx="510">
                  <c:v>-0.64385757826284773</c:v>
                </c:pt>
                <c:pt idx="511">
                  <c:v>0</c:v>
                </c:pt>
                <c:pt idx="512">
                  <c:v>0.29137087006516849</c:v>
                </c:pt>
                <c:pt idx="513">
                  <c:v>-0.83387134898100679</c:v>
                </c:pt>
                <c:pt idx="514">
                  <c:v>0.56709915428819646</c:v>
                </c:pt>
                <c:pt idx="515">
                  <c:v>-0.87038334516549121</c:v>
                </c:pt>
                <c:pt idx="516">
                  <c:v>-0.43052395419612965</c:v>
                </c:pt>
                <c:pt idx="517">
                  <c:v>-0.42462590544326928</c:v>
                </c:pt>
                <c:pt idx="518">
                  <c:v>8.7393143243405635E-2</c:v>
                </c:pt>
                <c:pt idx="519">
                  <c:v>0.63962441226823508</c:v>
                </c:pt>
                <c:pt idx="520">
                  <c:v>0</c:v>
                </c:pt>
                <c:pt idx="521">
                  <c:v>-0.32755584544220873</c:v>
                </c:pt>
                <c:pt idx="522">
                  <c:v>0.62625225089503278</c:v>
                </c:pt>
                <c:pt idx="523">
                  <c:v>-1.3622044097615582E-2</c:v>
                </c:pt>
                <c:pt idx="524">
                  <c:v>0.36439573703905492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0.32179724510906649</c:v>
                </c:pt>
                <c:pt idx="529">
                  <c:v>0.5951923710932332</c:v>
                </c:pt>
                <c:pt idx="530">
                  <c:v>-4.3325071925983893E-2</c:v>
                </c:pt>
                <c:pt idx="531">
                  <c:v>0.15310968949384596</c:v>
                </c:pt>
                <c:pt idx="532">
                  <c:v>0</c:v>
                </c:pt>
                <c:pt idx="533">
                  <c:v>0</c:v>
                </c:pt>
                <c:pt idx="534">
                  <c:v>-0.22799752714965571</c:v>
                </c:pt>
                <c:pt idx="535">
                  <c:v>0</c:v>
                </c:pt>
                <c:pt idx="536">
                  <c:v>0.50850475573608889</c:v>
                </c:pt>
                <c:pt idx="537">
                  <c:v>-0.24590551596369781</c:v>
                </c:pt>
                <c:pt idx="538">
                  <c:v>0</c:v>
                </c:pt>
                <c:pt idx="539">
                  <c:v>0.85248424041744553</c:v>
                </c:pt>
                <c:pt idx="540">
                  <c:v>6.7570064136254882E-2</c:v>
                </c:pt>
                <c:pt idx="541">
                  <c:v>0.15066809944652371</c:v>
                </c:pt>
                <c:pt idx="542">
                  <c:v>0.77840392266598246</c:v>
                </c:pt>
                <c:pt idx="543">
                  <c:v>-0.4798825955072259</c:v>
                </c:pt>
                <c:pt idx="544">
                  <c:v>0</c:v>
                </c:pt>
                <c:pt idx="545">
                  <c:v>-0.32181636219102061</c:v>
                </c:pt>
                <c:pt idx="546">
                  <c:v>-0.54933843487147671</c:v>
                </c:pt>
                <c:pt idx="547">
                  <c:v>0.16114079427784511</c:v>
                </c:pt>
                <c:pt idx="548">
                  <c:v>-0.27415202590413945</c:v>
                </c:pt>
                <c:pt idx="549">
                  <c:v>0</c:v>
                </c:pt>
                <c:pt idx="550">
                  <c:v>0.20503360384048452</c:v>
                </c:pt>
                <c:pt idx="551">
                  <c:v>0</c:v>
                </c:pt>
                <c:pt idx="552">
                  <c:v>-0.36472069009674901</c:v>
                </c:pt>
                <c:pt idx="553">
                  <c:v>0.36001472283481584</c:v>
                </c:pt>
                <c:pt idx="554">
                  <c:v>0</c:v>
                </c:pt>
                <c:pt idx="555">
                  <c:v>0</c:v>
                </c:pt>
                <c:pt idx="556">
                  <c:v>-0.44648554856189415</c:v>
                </c:pt>
                <c:pt idx="557">
                  <c:v>0.32972528688474112</c:v>
                </c:pt>
                <c:pt idx="558">
                  <c:v>0.50855822024731712</c:v>
                </c:pt>
                <c:pt idx="559">
                  <c:v>0</c:v>
                </c:pt>
                <c:pt idx="560">
                  <c:v>0.19657433157148096</c:v>
                </c:pt>
                <c:pt idx="561">
                  <c:v>0.23830879790962012</c:v>
                </c:pt>
                <c:pt idx="562">
                  <c:v>-0.66875042968871079</c:v>
                </c:pt>
                <c:pt idx="563">
                  <c:v>0.25083300620553195</c:v>
                </c:pt>
                <c:pt idx="564">
                  <c:v>0</c:v>
                </c:pt>
                <c:pt idx="565">
                  <c:v>0.40768648075699776</c:v>
                </c:pt>
                <c:pt idx="566">
                  <c:v>0</c:v>
                </c:pt>
                <c:pt idx="567">
                  <c:v>-9.4046346072287346E-3</c:v>
                </c:pt>
                <c:pt idx="568">
                  <c:v>-0.68332665981786889</c:v>
                </c:pt>
                <c:pt idx="569">
                  <c:v>0</c:v>
                </c:pt>
                <c:pt idx="570">
                  <c:v>-0.28124852623193641</c:v>
                </c:pt>
                <c:pt idx="571">
                  <c:v>0.2044166079136287</c:v>
                </c:pt>
                <c:pt idx="572">
                  <c:v>0.24530452975116801</c:v>
                </c:pt>
                <c:pt idx="573">
                  <c:v>0</c:v>
                </c:pt>
                <c:pt idx="574">
                  <c:v>-0.17424009647661753</c:v>
                </c:pt>
                <c:pt idx="575">
                  <c:v>-0.50682811180492449</c:v>
                </c:pt>
                <c:pt idx="576">
                  <c:v>-0.92321123577938002</c:v>
                </c:pt>
                <c:pt idx="577">
                  <c:v>0.91215048243629315</c:v>
                </c:pt>
                <c:pt idx="578">
                  <c:v>-0.86026856101317928</c:v>
                </c:pt>
                <c:pt idx="579">
                  <c:v>-0.15948004243958969</c:v>
                </c:pt>
                <c:pt idx="580">
                  <c:v>0.67783479856719175</c:v>
                </c:pt>
                <c:pt idx="581">
                  <c:v>0.59825166619725301</c:v>
                </c:pt>
                <c:pt idx="582">
                  <c:v>0.28108552263977771</c:v>
                </c:pt>
                <c:pt idx="583">
                  <c:v>-0.14972586926023346</c:v>
                </c:pt>
                <c:pt idx="584">
                  <c:v>0</c:v>
                </c:pt>
                <c:pt idx="585">
                  <c:v>-9.511410557569433E-2</c:v>
                </c:pt>
                <c:pt idx="586">
                  <c:v>-1.8288321650844708E-2</c:v>
                </c:pt>
                <c:pt idx="587">
                  <c:v>0.2154871765098676</c:v>
                </c:pt>
                <c:pt idx="588">
                  <c:v>0.34771933642661557</c:v>
                </c:pt>
                <c:pt idx="589">
                  <c:v>0.52159937444783178</c:v>
                </c:pt>
                <c:pt idx="590">
                  <c:v>0</c:v>
                </c:pt>
                <c:pt idx="591">
                  <c:v>0.29310256213067176</c:v>
                </c:pt>
                <c:pt idx="592">
                  <c:v>0</c:v>
                </c:pt>
                <c:pt idx="593">
                  <c:v>-9.9513205970470642E-2</c:v>
                </c:pt>
                <c:pt idx="594">
                  <c:v>-0.64357498653999068</c:v>
                </c:pt>
                <c:pt idx="595">
                  <c:v>0.58753721728019515</c:v>
                </c:pt>
                <c:pt idx="596">
                  <c:v>0</c:v>
                </c:pt>
                <c:pt idx="597">
                  <c:v>-0.5211296978765052</c:v>
                </c:pt>
                <c:pt idx="598">
                  <c:v>0</c:v>
                </c:pt>
                <c:pt idx="599">
                  <c:v>0</c:v>
                </c:pt>
                <c:pt idx="600">
                  <c:v>-0.78984712529513201</c:v>
                </c:pt>
                <c:pt idx="601">
                  <c:v>0</c:v>
                </c:pt>
                <c:pt idx="602">
                  <c:v>0.89195230245438895</c:v>
                </c:pt>
                <c:pt idx="603">
                  <c:v>0.40976536560994847</c:v>
                </c:pt>
                <c:pt idx="604">
                  <c:v>0</c:v>
                </c:pt>
                <c:pt idx="605">
                  <c:v>0</c:v>
                </c:pt>
                <c:pt idx="606">
                  <c:v>-0.80058650862410574</c:v>
                </c:pt>
                <c:pt idx="607">
                  <c:v>0.32143846313092572</c:v>
                </c:pt>
                <c:pt idx="608">
                  <c:v>-0.2736437236326339</c:v>
                </c:pt>
                <c:pt idx="609">
                  <c:v>0</c:v>
                </c:pt>
                <c:pt idx="610">
                  <c:v>-0.35841596991058644</c:v>
                </c:pt>
                <c:pt idx="611">
                  <c:v>0.3315041322234249</c:v>
                </c:pt>
                <c:pt idx="612">
                  <c:v>-0.34774205289091586</c:v>
                </c:pt>
                <c:pt idx="613">
                  <c:v>1.365264356486029E-2</c:v>
                </c:pt>
                <c:pt idx="614">
                  <c:v>0.36510036585581362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-0.50115186202699546</c:v>
                </c:pt>
                <c:pt idx="619">
                  <c:v>0.27446531883552927</c:v>
                </c:pt>
                <c:pt idx="620">
                  <c:v>-0.12171785650655687</c:v>
                </c:pt>
                <c:pt idx="621">
                  <c:v>-0.74204567484177431</c:v>
                </c:pt>
                <c:pt idx="622">
                  <c:v>-0.65855608160803425</c:v>
                </c:pt>
                <c:pt idx="623">
                  <c:v>6.0390593349283872E-2</c:v>
                </c:pt>
                <c:pt idx="624">
                  <c:v>0</c:v>
                </c:pt>
                <c:pt idx="625">
                  <c:v>-0.44197705912350171</c:v>
                </c:pt>
                <c:pt idx="626">
                  <c:v>0</c:v>
                </c:pt>
                <c:pt idx="627">
                  <c:v>-0.66327032083374138</c:v>
                </c:pt>
                <c:pt idx="628">
                  <c:v>0</c:v>
                </c:pt>
                <c:pt idx="629">
                  <c:v>0.9866579682919443</c:v>
                </c:pt>
                <c:pt idx="630">
                  <c:v>0.70410345054143342</c:v>
                </c:pt>
                <c:pt idx="631">
                  <c:v>-0.37154060645414422</c:v>
                </c:pt>
                <c:pt idx="632">
                  <c:v>0.68654858202189128</c:v>
                </c:pt>
                <c:pt idx="633">
                  <c:v>-0.27685046633922705</c:v>
                </c:pt>
                <c:pt idx="634">
                  <c:v>-0.37319569318895374</c:v>
                </c:pt>
                <c:pt idx="635">
                  <c:v>0</c:v>
                </c:pt>
                <c:pt idx="636">
                  <c:v>0.18169336829418659</c:v>
                </c:pt>
                <c:pt idx="637">
                  <c:v>0</c:v>
                </c:pt>
                <c:pt idx="638">
                  <c:v>0.59842471173569822</c:v>
                </c:pt>
                <c:pt idx="639">
                  <c:v>0</c:v>
                </c:pt>
                <c:pt idx="640">
                  <c:v>0.29970882787313258</c:v>
                </c:pt>
                <c:pt idx="641">
                  <c:v>-0.75873869704870822</c:v>
                </c:pt>
                <c:pt idx="642">
                  <c:v>8.9939642839218958E-2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-0.79088112345185735</c:v>
                </c:pt>
                <c:pt idx="647">
                  <c:v>-0.40510621549936476</c:v>
                </c:pt>
                <c:pt idx="648">
                  <c:v>-0.76762782715463485</c:v>
                </c:pt>
                <c:pt idx="649">
                  <c:v>0.17516930473103298</c:v>
                </c:pt>
                <c:pt idx="650">
                  <c:v>0</c:v>
                </c:pt>
                <c:pt idx="651">
                  <c:v>0.21511912980116632</c:v>
                </c:pt>
                <c:pt idx="652">
                  <c:v>2.4687535608518552E-2</c:v>
                </c:pt>
                <c:pt idx="653">
                  <c:v>0.47510007048819292</c:v>
                </c:pt>
                <c:pt idx="654">
                  <c:v>-0.87142735490026024</c:v>
                </c:pt>
                <c:pt idx="655">
                  <c:v>-0.45471373214307187</c:v>
                </c:pt>
                <c:pt idx="656">
                  <c:v>-0.41585683583560074</c:v>
                </c:pt>
                <c:pt idx="657">
                  <c:v>-0.42168834934360855</c:v>
                </c:pt>
                <c:pt idx="658">
                  <c:v>-0.75533605797533854</c:v>
                </c:pt>
                <c:pt idx="659">
                  <c:v>0.79801200679999273</c:v>
                </c:pt>
                <c:pt idx="660">
                  <c:v>0.54359707191357698</c:v>
                </c:pt>
                <c:pt idx="661">
                  <c:v>-0.59241437003218289</c:v>
                </c:pt>
                <c:pt idx="662">
                  <c:v>0</c:v>
                </c:pt>
                <c:pt idx="663">
                  <c:v>-0.75834666907024517</c:v>
                </c:pt>
                <c:pt idx="664">
                  <c:v>0.41996781704093022</c:v>
                </c:pt>
                <c:pt idx="665">
                  <c:v>0</c:v>
                </c:pt>
                <c:pt idx="666">
                  <c:v>1.1108772496268848E-3</c:v>
                </c:pt>
                <c:pt idx="667">
                  <c:v>0.19702879465867174</c:v>
                </c:pt>
                <c:pt idx="668">
                  <c:v>0.28010558829964016</c:v>
                </c:pt>
                <c:pt idx="669">
                  <c:v>-8.6921330530254748E-2</c:v>
                </c:pt>
                <c:pt idx="670">
                  <c:v>0.17841826163194607</c:v>
                </c:pt>
                <c:pt idx="671">
                  <c:v>0.7500130988319853</c:v>
                </c:pt>
                <c:pt idx="672">
                  <c:v>-0.25365662732673133</c:v>
                </c:pt>
                <c:pt idx="673">
                  <c:v>0</c:v>
                </c:pt>
                <c:pt idx="674">
                  <c:v>-1.8340215403594318E-2</c:v>
                </c:pt>
                <c:pt idx="675">
                  <c:v>0.90616983759828584</c:v>
                </c:pt>
                <c:pt idx="676">
                  <c:v>0</c:v>
                </c:pt>
                <c:pt idx="677">
                  <c:v>0.42634687667978488</c:v>
                </c:pt>
                <c:pt idx="678">
                  <c:v>0.18935040534891434</c:v>
                </c:pt>
                <c:pt idx="679">
                  <c:v>0.41041776888268844</c:v>
                </c:pt>
                <c:pt idx="680">
                  <c:v>-2.2262420475533062E-2</c:v>
                </c:pt>
                <c:pt idx="681">
                  <c:v>0</c:v>
                </c:pt>
                <c:pt idx="682">
                  <c:v>-0.71672531188355126</c:v>
                </c:pt>
                <c:pt idx="683">
                  <c:v>-6.7729056392674458E-2</c:v>
                </c:pt>
                <c:pt idx="684">
                  <c:v>0.43061683340193979</c:v>
                </c:pt>
                <c:pt idx="685">
                  <c:v>0.18922947465484596</c:v>
                </c:pt>
                <c:pt idx="686">
                  <c:v>-0.8923708759662965</c:v>
                </c:pt>
                <c:pt idx="687">
                  <c:v>0.10033961789820744</c:v>
                </c:pt>
                <c:pt idx="688">
                  <c:v>0</c:v>
                </c:pt>
                <c:pt idx="689">
                  <c:v>-0.87309560970609934</c:v>
                </c:pt>
                <c:pt idx="690">
                  <c:v>0.77335583686732168</c:v>
                </c:pt>
                <c:pt idx="691">
                  <c:v>0.11684601712118758</c:v>
                </c:pt>
                <c:pt idx="692">
                  <c:v>-0.12261761513355496</c:v>
                </c:pt>
                <c:pt idx="693">
                  <c:v>-0.67318534374706074</c:v>
                </c:pt>
                <c:pt idx="694">
                  <c:v>-9.6914242078022461E-2</c:v>
                </c:pt>
                <c:pt idx="695">
                  <c:v>0.496545992674019</c:v>
                </c:pt>
                <c:pt idx="696">
                  <c:v>0.25672688191934712</c:v>
                </c:pt>
                <c:pt idx="697">
                  <c:v>-0.16810358402413206</c:v>
                </c:pt>
                <c:pt idx="698">
                  <c:v>-0.19163412471333574</c:v>
                </c:pt>
                <c:pt idx="699">
                  <c:v>0</c:v>
                </c:pt>
                <c:pt idx="700">
                  <c:v>-0.66769571446988363</c:v>
                </c:pt>
                <c:pt idx="701">
                  <c:v>-0.40250618991290099</c:v>
                </c:pt>
                <c:pt idx="702">
                  <c:v>0</c:v>
                </c:pt>
                <c:pt idx="703">
                  <c:v>0.88999381050624726</c:v>
                </c:pt>
                <c:pt idx="704">
                  <c:v>0.86940099245591251</c:v>
                </c:pt>
                <c:pt idx="705">
                  <c:v>-0.56018967414535226</c:v>
                </c:pt>
                <c:pt idx="706">
                  <c:v>0</c:v>
                </c:pt>
                <c:pt idx="707">
                  <c:v>-0.28843295213721754</c:v>
                </c:pt>
                <c:pt idx="708">
                  <c:v>0.36008181682845009</c:v>
                </c:pt>
                <c:pt idx="709">
                  <c:v>0</c:v>
                </c:pt>
                <c:pt idx="710">
                  <c:v>0.30272646062901409</c:v>
                </c:pt>
                <c:pt idx="711">
                  <c:v>0.96604175707879003</c:v>
                </c:pt>
                <c:pt idx="712">
                  <c:v>-0.50414414050604717</c:v>
                </c:pt>
                <c:pt idx="713">
                  <c:v>-0.64738836572372982</c:v>
                </c:pt>
                <c:pt idx="714">
                  <c:v>1.42013336764375E-2</c:v>
                </c:pt>
                <c:pt idx="715">
                  <c:v>-0.69368343463242277</c:v>
                </c:pt>
                <c:pt idx="716">
                  <c:v>0.67145631774601267</c:v>
                </c:pt>
                <c:pt idx="717">
                  <c:v>0.94003607449323967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0.41142225103390828</c:v>
                </c:pt>
                <c:pt idx="723">
                  <c:v>-0.36228554466137486</c:v>
                </c:pt>
                <c:pt idx="724">
                  <c:v>2.8211373634404735E-2</c:v>
                </c:pt>
                <c:pt idx="725">
                  <c:v>-0.41629352403658193</c:v>
                </c:pt>
                <c:pt idx="726">
                  <c:v>0</c:v>
                </c:pt>
                <c:pt idx="727">
                  <c:v>-9.4586511093786685E-2</c:v>
                </c:pt>
                <c:pt idx="728">
                  <c:v>-8.9303792763532064E-2</c:v>
                </c:pt>
                <c:pt idx="729">
                  <c:v>0.2233147239175608</c:v>
                </c:pt>
                <c:pt idx="730">
                  <c:v>0.66963722531402592</c:v>
                </c:pt>
                <c:pt idx="731">
                  <c:v>4.0245270417236467E-2</c:v>
                </c:pt>
                <c:pt idx="732">
                  <c:v>0</c:v>
                </c:pt>
                <c:pt idx="733">
                  <c:v>-0.3635238733457955</c:v>
                </c:pt>
                <c:pt idx="734">
                  <c:v>-0.5049713250459591</c:v>
                </c:pt>
                <c:pt idx="735">
                  <c:v>0.78019230576293097</c:v>
                </c:pt>
                <c:pt idx="736">
                  <c:v>0</c:v>
                </c:pt>
                <c:pt idx="737">
                  <c:v>0</c:v>
                </c:pt>
                <c:pt idx="738">
                  <c:v>-0.2010106185330065</c:v>
                </c:pt>
                <c:pt idx="739">
                  <c:v>-0.66450144880638917</c:v>
                </c:pt>
                <c:pt idx="740">
                  <c:v>0.35362847711762302</c:v>
                </c:pt>
                <c:pt idx="741">
                  <c:v>-0.43827928720997833</c:v>
                </c:pt>
                <c:pt idx="742">
                  <c:v>-0.74213154772785228</c:v>
                </c:pt>
                <c:pt idx="743">
                  <c:v>7.1230613919400776E-2</c:v>
                </c:pt>
                <c:pt idx="744">
                  <c:v>-0.62645271553665549</c:v>
                </c:pt>
                <c:pt idx="745">
                  <c:v>-0.59780592115613929</c:v>
                </c:pt>
                <c:pt idx="746">
                  <c:v>0.6065945342916339</c:v>
                </c:pt>
                <c:pt idx="747">
                  <c:v>-0.27854519877936057</c:v>
                </c:pt>
                <c:pt idx="748">
                  <c:v>4.4563554170536479E-2</c:v>
                </c:pt>
                <c:pt idx="749">
                  <c:v>0</c:v>
                </c:pt>
                <c:pt idx="750">
                  <c:v>-0.38744112825464416</c:v>
                </c:pt>
                <c:pt idx="751">
                  <c:v>9.8150503490588514E-2</c:v>
                </c:pt>
                <c:pt idx="752">
                  <c:v>0.96544567964304506</c:v>
                </c:pt>
                <c:pt idx="753">
                  <c:v>-0.23445604939466369</c:v>
                </c:pt>
                <c:pt idx="754">
                  <c:v>-0.17466296305230955</c:v>
                </c:pt>
                <c:pt idx="755">
                  <c:v>0.43001547497526715</c:v>
                </c:pt>
                <c:pt idx="756">
                  <c:v>0</c:v>
                </c:pt>
                <c:pt idx="757">
                  <c:v>-0.46999140012835805</c:v>
                </c:pt>
                <c:pt idx="758">
                  <c:v>0.34896772659925923</c:v>
                </c:pt>
                <c:pt idx="759">
                  <c:v>5.9832730944707313E-2</c:v>
                </c:pt>
                <c:pt idx="760">
                  <c:v>9.3176344235016861E-2</c:v>
                </c:pt>
                <c:pt idx="761">
                  <c:v>0</c:v>
                </c:pt>
                <c:pt idx="762">
                  <c:v>-0.74555537178002029</c:v>
                </c:pt>
                <c:pt idx="763">
                  <c:v>0</c:v>
                </c:pt>
                <c:pt idx="764">
                  <c:v>0</c:v>
                </c:pt>
                <c:pt idx="765">
                  <c:v>-0.90301402949716358</c:v>
                </c:pt>
                <c:pt idx="766">
                  <c:v>-0.47673403876680021</c:v>
                </c:pt>
                <c:pt idx="767">
                  <c:v>0.40733191829200655</c:v>
                </c:pt>
                <c:pt idx="768">
                  <c:v>-0.85544667692714116</c:v>
                </c:pt>
                <c:pt idx="769">
                  <c:v>-0.14673169565811639</c:v>
                </c:pt>
                <c:pt idx="770">
                  <c:v>0.76224838535834394</c:v>
                </c:pt>
                <c:pt idx="771">
                  <c:v>-0.81602456449762273</c:v>
                </c:pt>
                <c:pt idx="772">
                  <c:v>-0.64300278955092005</c:v>
                </c:pt>
                <c:pt idx="773">
                  <c:v>0.46490502540602208</c:v>
                </c:pt>
                <c:pt idx="774">
                  <c:v>0</c:v>
                </c:pt>
                <c:pt idx="775">
                  <c:v>0</c:v>
                </c:pt>
                <c:pt idx="776">
                  <c:v>-0.78780352790935937</c:v>
                </c:pt>
                <c:pt idx="777">
                  <c:v>0.13491156678787619</c:v>
                </c:pt>
                <c:pt idx="778">
                  <c:v>-4.9738143382614064E-2</c:v>
                </c:pt>
                <c:pt idx="779">
                  <c:v>-8.7106628792336327E-2</c:v>
                </c:pt>
                <c:pt idx="780">
                  <c:v>0</c:v>
                </c:pt>
                <c:pt idx="781">
                  <c:v>-0.2129901293958063</c:v>
                </c:pt>
                <c:pt idx="782">
                  <c:v>0</c:v>
                </c:pt>
                <c:pt idx="783">
                  <c:v>-0.28894973707774363</c:v>
                </c:pt>
                <c:pt idx="784">
                  <c:v>0</c:v>
                </c:pt>
                <c:pt idx="785">
                  <c:v>-0.85953912901045082</c:v>
                </c:pt>
                <c:pt idx="786">
                  <c:v>-0.35482450811750876</c:v>
                </c:pt>
                <c:pt idx="787">
                  <c:v>0.535080070576474</c:v>
                </c:pt>
                <c:pt idx="788">
                  <c:v>-0.25909047286927955</c:v>
                </c:pt>
                <c:pt idx="789">
                  <c:v>1.6206171335702457E-2</c:v>
                </c:pt>
                <c:pt idx="790">
                  <c:v>-0.51534157779183132</c:v>
                </c:pt>
                <c:pt idx="791">
                  <c:v>0</c:v>
                </c:pt>
                <c:pt idx="792">
                  <c:v>0.37418673581471706</c:v>
                </c:pt>
                <c:pt idx="793">
                  <c:v>0</c:v>
                </c:pt>
                <c:pt idx="794">
                  <c:v>-0.52094045838622582</c:v>
                </c:pt>
                <c:pt idx="795">
                  <c:v>0.46001510390292299</c:v>
                </c:pt>
                <c:pt idx="796">
                  <c:v>0.87891428514576475</c:v>
                </c:pt>
                <c:pt idx="797">
                  <c:v>-0.81759997322431066</c:v>
                </c:pt>
                <c:pt idx="798">
                  <c:v>0.4922969072052803</c:v>
                </c:pt>
                <c:pt idx="799">
                  <c:v>0.65317747403647131</c:v>
                </c:pt>
                <c:pt idx="800">
                  <c:v>2.3104449984610476E-2</c:v>
                </c:pt>
                <c:pt idx="801">
                  <c:v>0</c:v>
                </c:pt>
                <c:pt idx="802">
                  <c:v>0.71415763238816221</c:v>
                </c:pt>
                <c:pt idx="803">
                  <c:v>-0.21521393064977179</c:v>
                </c:pt>
                <c:pt idx="804">
                  <c:v>-0.32127528016940166</c:v>
                </c:pt>
                <c:pt idx="805">
                  <c:v>-0.21051890471799473</c:v>
                </c:pt>
                <c:pt idx="806">
                  <c:v>0.34449367844870027</c:v>
                </c:pt>
                <c:pt idx="807">
                  <c:v>0.58739551663131584</c:v>
                </c:pt>
                <c:pt idx="808">
                  <c:v>0.47980626209984845</c:v>
                </c:pt>
                <c:pt idx="809">
                  <c:v>0.16133051797760478</c:v>
                </c:pt>
                <c:pt idx="810">
                  <c:v>-2.3187885420027143E-2</c:v>
                </c:pt>
                <c:pt idx="811">
                  <c:v>-0.4448109349686884</c:v>
                </c:pt>
                <c:pt idx="812">
                  <c:v>-0.13787182735392656</c:v>
                </c:pt>
                <c:pt idx="813">
                  <c:v>-0.36338151274546737</c:v>
                </c:pt>
                <c:pt idx="814">
                  <c:v>0</c:v>
                </c:pt>
                <c:pt idx="815">
                  <c:v>0.79625934957134725</c:v>
                </c:pt>
                <c:pt idx="816">
                  <c:v>9.8125933214610273E-2</c:v>
                </c:pt>
                <c:pt idx="817">
                  <c:v>-0.18646710398995947</c:v>
                </c:pt>
                <c:pt idx="818">
                  <c:v>0.52559951117485282</c:v>
                </c:pt>
                <c:pt idx="819">
                  <c:v>-5.8721234054555316E-2</c:v>
                </c:pt>
                <c:pt idx="820">
                  <c:v>-5.0705206958470139E-3</c:v>
                </c:pt>
                <c:pt idx="821">
                  <c:v>0.47837887787788969</c:v>
                </c:pt>
                <c:pt idx="822">
                  <c:v>0.67000364368309362</c:v>
                </c:pt>
                <c:pt idx="823">
                  <c:v>0.24382072934955223</c:v>
                </c:pt>
                <c:pt idx="824">
                  <c:v>-0.33083802729242096</c:v>
                </c:pt>
                <c:pt idx="825">
                  <c:v>0.93740314874368069</c:v>
                </c:pt>
                <c:pt idx="826">
                  <c:v>0.11632214811929287</c:v>
                </c:pt>
                <c:pt idx="827">
                  <c:v>0</c:v>
                </c:pt>
                <c:pt idx="828">
                  <c:v>-0.30458131520609388</c:v>
                </c:pt>
                <c:pt idx="829">
                  <c:v>-0.74131033431417293</c:v>
                </c:pt>
                <c:pt idx="830">
                  <c:v>-0.34814954150315791</c:v>
                </c:pt>
                <c:pt idx="831">
                  <c:v>0.21769029065295165</c:v>
                </c:pt>
                <c:pt idx="832">
                  <c:v>0.59299349081410835</c:v>
                </c:pt>
                <c:pt idx="833">
                  <c:v>-0.93837989365479757</c:v>
                </c:pt>
                <c:pt idx="834">
                  <c:v>-0.75817091795027847</c:v>
                </c:pt>
                <c:pt idx="835">
                  <c:v>8.8613861362711432E-2</c:v>
                </c:pt>
                <c:pt idx="836">
                  <c:v>-0.28861694301281604</c:v>
                </c:pt>
                <c:pt idx="837">
                  <c:v>0</c:v>
                </c:pt>
                <c:pt idx="838">
                  <c:v>-0.19168906267441765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0.11946490860288006</c:v>
                </c:pt>
                <c:pt idx="843">
                  <c:v>0.53909375619792943</c:v>
                </c:pt>
                <c:pt idx="844">
                  <c:v>0</c:v>
                </c:pt>
                <c:pt idx="845">
                  <c:v>3.4015096345580975E-2</c:v>
                </c:pt>
                <c:pt idx="846">
                  <c:v>0.86752935493545635</c:v>
                </c:pt>
                <c:pt idx="847">
                  <c:v>0.15603863721482392</c:v>
                </c:pt>
                <c:pt idx="848">
                  <c:v>0</c:v>
                </c:pt>
                <c:pt idx="849">
                  <c:v>-0.44902243622176052</c:v>
                </c:pt>
                <c:pt idx="850">
                  <c:v>0.37491591682633763</c:v>
                </c:pt>
                <c:pt idx="851">
                  <c:v>-8.0712517005528062E-2</c:v>
                </c:pt>
                <c:pt idx="852">
                  <c:v>0.54401578660313832</c:v>
                </c:pt>
                <c:pt idx="853">
                  <c:v>-0.75091439489100531</c:v>
                </c:pt>
                <c:pt idx="854">
                  <c:v>-0.94833862586732809</c:v>
                </c:pt>
                <c:pt idx="855">
                  <c:v>0.94802513289045076</c:v>
                </c:pt>
                <c:pt idx="856">
                  <c:v>-0.62848024639536426</c:v>
                </c:pt>
                <c:pt idx="857">
                  <c:v>0.62966554773446681</c:v>
                </c:pt>
                <c:pt idx="858">
                  <c:v>-0.77350895119643948</c:v>
                </c:pt>
                <c:pt idx="859">
                  <c:v>-0.56772179940802259</c:v>
                </c:pt>
                <c:pt idx="860">
                  <c:v>0.2462213349439375</c:v>
                </c:pt>
                <c:pt idx="861">
                  <c:v>-1.0349129811501934E-2</c:v>
                </c:pt>
                <c:pt idx="862">
                  <c:v>0.98235502724115054</c:v>
                </c:pt>
                <c:pt idx="863">
                  <c:v>-0.4783324744727675</c:v>
                </c:pt>
                <c:pt idx="864">
                  <c:v>-0.28458721580221136</c:v>
                </c:pt>
                <c:pt idx="865">
                  <c:v>-5.4932516501584372E-2</c:v>
                </c:pt>
                <c:pt idx="866">
                  <c:v>-0.86603813441065824</c:v>
                </c:pt>
                <c:pt idx="867">
                  <c:v>0.23556110027441068</c:v>
                </c:pt>
                <c:pt idx="868">
                  <c:v>0</c:v>
                </c:pt>
                <c:pt idx="869">
                  <c:v>0.10881662907973233</c:v>
                </c:pt>
                <c:pt idx="870">
                  <c:v>-0.43953285631259509</c:v>
                </c:pt>
                <c:pt idx="871">
                  <c:v>0</c:v>
                </c:pt>
                <c:pt idx="872">
                  <c:v>0.39759780740551087</c:v>
                </c:pt>
                <c:pt idx="873">
                  <c:v>0</c:v>
                </c:pt>
                <c:pt idx="874">
                  <c:v>0.55129174783229518</c:v>
                </c:pt>
                <c:pt idx="875">
                  <c:v>-0.43742567407596544</c:v>
                </c:pt>
                <c:pt idx="876">
                  <c:v>0.22377434963435361</c:v>
                </c:pt>
                <c:pt idx="877">
                  <c:v>-0.40670588768614513</c:v>
                </c:pt>
                <c:pt idx="878">
                  <c:v>-0.34496184642163819</c:v>
                </c:pt>
                <c:pt idx="879">
                  <c:v>0</c:v>
                </c:pt>
                <c:pt idx="880">
                  <c:v>-0.49636135513445012</c:v>
                </c:pt>
                <c:pt idx="881">
                  <c:v>0</c:v>
                </c:pt>
                <c:pt idx="882">
                  <c:v>0.86111046479299058</c:v>
                </c:pt>
                <c:pt idx="883">
                  <c:v>0</c:v>
                </c:pt>
                <c:pt idx="884">
                  <c:v>-0.14040969578111806</c:v>
                </c:pt>
                <c:pt idx="885">
                  <c:v>-0.15182733508076351</c:v>
                </c:pt>
                <c:pt idx="886">
                  <c:v>0.47663459047415713</c:v>
                </c:pt>
                <c:pt idx="887">
                  <c:v>0.80757296675181411</c:v>
                </c:pt>
                <c:pt idx="888">
                  <c:v>0.31172739599938404</c:v>
                </c:pt>
                <c:pt idx="889">
                  <c:v>-0.58951230379178376</c:v>
                </c:pt>
                <c:pt idx="890">
                  <c:v>0.31284917109259447</c:v>
                </c:pt>
                <c:pt idx="891">
                  <c:v>-0.61467408107186805</c:v>
                </c:pt>
                <c:pt idx="892">
                  <c:v>0</c:v>
                </c:pt>
                <c:pt idx="893">
                  <c:v>-0.58556806662428373</c:v>
                </c:pt>
                <c:pt idx="894">
                  <c:v>0</c:v>
                </c:pt>
                <c:pt idx="895">
                  <c:v>-0.40052340274042009</c:v>
                </c:pt>
                <c:pt idx="896">
                  <c:v>-0.24414900357245273</c:v>
                </c:pt>
                <c:pt idx="897">
                  <c:v>-6.424186256744524E-2</c:v>
                </c:pt>
                <c:pt idx="898">
                  <c:v>0.50029634667613143</c:v>
                </c:pt>
                <c:pt idx="899">
                  <c:v>0.31627744302804817</c:v>
                </c:pt>
                <c:pt idx="900">
                  <c:v>9.2754412194847813E-2</c:v>
                </c:pt>
                <c:pt idx="901">
                  <c:v>-0.85636084825014835</c:v>
                </c:pt>
                <c:pt idx="902">
                  <c:v>0.49773384078429905</c:v>
                </c:pt>
                <c:pt idx="903">
                  <c:v>-0.1265302498353631</c:v>
                </c:pt>
                <c:pt idx="904">
                  <c:v>0.39336042444173458</c:v>
                </c:pt>
                <c:pt idx="905">
                  <c:v>0.71021728500226522</c:v>
                </c:pt>
                <c:pt idx="906">
                  <c:v>0</c:v>
                </c:pt>
                <c:pt idx="907">
                  <c:v>0.32331476518919122</c:v>
                </c:pt>
                <c:pt idx="908">
                  <c:v>0.33743256454919868</c:v>
                </c:pt>
                <c:pt idx="909">
                  <c:v>0.48581596714645214</c:v>
                </c:pt>
                <c:pt idx="910">
                  <c:v>0</c:v>
                </c:pt>
                <c:pt idx="911">
                  <c:v>-0.32192284908448654</c:v>
                </c:pt>
                <c:pt idx="912">
                  <c:v>8.2131451784756671E-2</c:v>
                </c:pt>
                <c:pt idx="913">
                  <c:v>6.3708614738451796E-2</c:v>
                </c:pt>
                <c:pt idx="914">
                  <c:v>-0.69338395066120362</c:v>
                </c:pt>
                <c:pt idx="915">
                  <c:v>0.26041497625810694</c:v>
                </c:pt>
                <c:pt idx="916">
                  <c:v>0.20713428535261791</c:v>
                </c:pt>
                <c:pt idx="917">
                  <c:v>0</c:v>
                </c:pt>
                <c:pt idx="918">
                  <c:v>0.27605173368762448</c:v>
                </c:pt>
                <c:pt idx="919">
                  <c:v>-0.86349336430066104</c:v>
                </c:pt>
                <c:pt idx="920">
                  <c:v>-5.8230378655903747E-2</c:v>
                </c:pt>
                <c:pt idx="921">
                  <c:v>0.5590277249009532</c:v>
                </c:pt>
                <c:pt idx="922">
                  <c:v>0</c:v>
                </c:pt>
                <c:pt idx="923">
                  <c:v>-0.8748873526171852</c:v>
                </c:pt>
                <c:pt idx="924">
                  <c:v>0.57890648396610556</c:v>
                </c:pt>
                <c:pt idx="925">
                  <c:v>-7.6204214454414387E-2</c:v>
                </c:pt>
                <c:pt idx="926">
                  <c:v>-0.88879028061368315</c:v>
                </c:pt>
                <c:pt idx="927">
                  <c:v>7.9025289864340209E-2</c:v>
                </c:pt>
                <c:pt idx="928">
                  <c:v>-0.67513261414611359</c:v>
                </c:pt>
                <c:pt idx="929">
                  <c:v>0.89288365594233232</c:v>
                </c:pt>
                <c:pt idx="930">
                  <c:v>-0.56900265803849925</c:v>
                </c:pt>
                <c:pt idx="931">
                  <c:v>-0.52030539815903531</c:v>
                </c:pt>
                <c:pt idx="932">
                  <c:v>-4.8849711514661331E-2</c:v>
                </c:pt>
                <c:pt idx="933">
                  <c:v>0.11589315474229367</c:v>
                </c:pt>
                <c:pt idx="934">
                  <c:v>-0.21412232551969379</c:v>
                </c:pt>
                <c:pt idx="935">
                  <c:v>0</c:v>
                </c:pt>
                <c:pt idx="936">
                  <c:v>0.91471105925193985</c:v>
                </c:pt>
                <c:pt idx="937">
                  <c:v>-0.53190499281666637</c:v>
                </c:pt>
                <c:pt idx="938">
                  <c:v>-0.82992273197126964</c:v>
                </c:pt>
                <c:pt idx="939">
                  <c:v>0.94927637182000368</c:v>
                </c:pt>
                <c:pt idx="940">
                  <c:v>-0.70100191084481134</c:v>
                </c:pt>
                <c:pt idx="941">
                  <c:v>-0.69120713362912922</c:v>
                </c:pt>
                <c:pt idx="942">
                  <c:v>0</c:v>
                </c:pt>
                <c:pt idx="943">
                  <c:v>0.65426038254742558</c:v>
                </c:pt>
                <c:pt idx="944">
                  <c:v>0.10949189243571444</c:v>
                </c:pt>
                <c:pt idx="945">
                  <c:v>0.35269981339629441</c:v>
                </c:pt>
                <c:pt idx="946">
                  <c:v>-0.14493070452207957</c:v>
                </c:pt>
                <c:pt idx="947">
                  <c:v>0.35202017915191175</c:v>
                </c:pt>
                <c:pt idx="948">
                  <c:v>0.57017262347472752</c:v>
                </c:pt>
                <c:pt idx="949">
                  <c:v>0</c:v>
                </c:pt>
                <c:pt idx="950">
                  <c:v>0.35561720002470887</c:v>
                </c:pt>
                <c:pt idx="951">
                  <c:v>-0.17795990104944148</c:v>
                </c:pt>
                <c:pt idx="952">
                  <c:v>0.47507038613330699</c:v>
                </c:pt>
                <c:pt idx="953">
                  <c:v>-0.37224199202039632</c:v>
                </c:pt>
                <c:pt idx="954">
                  <c:v>-0.26193766268421559</c:v>
                </c:pt>
                <c:pt idx="955">
                  <c:v>0</c:v>
                </c:pt>
                <c:pt idx="956">
                  <c:v>0</c:v>
                </c:pt>
                <c:pt idx="957">
                  <c:v>-0.25323142092343542</c:v>
                </c:pt>
                <c:pt idx="958">
                  <c:v>-0.58192457393195296</c:v>
                </c:pt>
                <c:pt idx="959">
                  <c:v>0.12259008804300064</c:v>
                </c:pt>
                <c:pt idx="960">
                  <c:v>0.42742828084022788</c:v>
                </c:pt>
                <c:pt idx="961">
                  <c:v>0.76765974800788062</c:v>
                </c:pt>
                <c:pt idx="962">
                  <c:v>0</c:v>
                </c:pt>
                <c:pt idx="963">
                  <c:v>-0.24305805071485809</c:v>
                </c:pt>
                <c:pt idx="964">
                  <c:v>-0.20475513296007675</c:v>
                </c:pt>
                <c:pt idx="965">
                  <c:v>0</c:v>
                </c:pt>
                <c:pt idx="966">
                  <c:v>4.5079216164681357E-2</c:v>
                </c:pt>
                <c:pt idx="967">
                  <c:v>0</c:v>
                </c:pt>
                <c:pt idx="968">
                  <c:v>0</c:v>
                </c:pt>
                <c:pt idx="969">
                  <c:v>-0.19594009678938384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0.35908745678550424</c:v>
                </c:pt>
                <c:pt idx="976">
                  <c:v>0.13855613967271929</c:v>
                </c:pt>
                <c:pt idx="977">
                  <c:v>-0.17491678153412438</c:v>
                </c:pt>
                <c:pt idx="978">
                  <c:v>0.25695879012159661</c:v>
                </c:pt>
                <c:pt idx="979">
                  <c:v>-0.77706935659501819</c:v>
                </c:pt>
                <c:pt idx="980">
                  <c:v>-0.3126301409836052</c:v>
                </c:pt>
                <c:pt idx="981">
                  <c:v>-0.34679473306710551</c:v>
                </c:pt>
                <c:pt idx="982">
                  <c:v>0.24255130132134761</c:v>
                </c:pt>
                <c:pt idx="983">
                  <c:v>0.20436004310973299</c:v>
                </c:pt>
                <c:pt idx="984">
                  <c:v>9.428225747342811E-2</c:v>
                </c:pt>
                <c:pt idx="985">
                  <c:v>-0.59459784407043248</c:v>
                </c:pt>
                <c:pt idx="986">
                  <c:v>-0.17551602318178783</c:v>
                </c:pt>
                <c:pt idx="987">
                  <c:v>0.64129298728243578</c:v>
                </c:pt>
                <c:pt idx="988">
                  <c:v>0</c:v>
                </c:pt>
                <c:pt idx="989">
                  <c:v>0</c:v>
                </c:pt>
                <c:pt idx="990">
                  <c:v>-0.19260815700545209</c:v>
                </c:pt>
                <c:pt idx="991">
                  <c:v>-0.1189265832093831</c:v>
                </c:pt>
                <c:pt idx="992">
                  <c:v>-0.27815682669151687</c:v>
                </c:pt>
                <c:pt idx="993">
                  <c:v>-0.67144396794782835</c:v>
                </c:pt>
                <c:pt idx="994">
                  <c:v>-0.25549400395610888</c:v>
                </c:pt>
                <c:pt idx="995">
                  <c:v>0</c:v>
                </c:pt>
                <c:pt idx="996">
                  <c:v>9.6848604338531263E-2</c:v>
                </c:pt>
                <c:pt idx="997">
                  <c:v>0.48285038776965239</c:v>
                </c:pt>
                <c:pt idx="998">
                  <c:v>0</c:v>
                </c:pt>
                <c:pt idx="999">
                  <c:v>0.26855999783461293</c:v>
                </c:pt>
              </c:numCache>
            </c:numRef>
          </c:xVal>
          <c:yVal>
            <c:numRef>
              <c:f>'Q6-MonteCarloSim'!$G$6:$G$1005</c:f>
              <c:numCache>
                <c:formatCode>General</c:formatCode>
                <c:ptCount val="1000"/>
                <c:pt idx="0">
                  <c:v>0</c:v>
                </c:pt>
                <c:pt idx="1">
                  <c:v>-0.15055685943810126</c:v>
                </c:pt>
                <c:pt idx="2">
                  <c:v>0.92007365187153312</c:v>
                </c:pt>
                <c:pt idx="3">
                  <c:v>-0.50949847492158895</c:v>
                </c:pt>
                <c:pt idx="4">
                  <c:v>-0.6870852593307013</c:v>
                </c:pt>
                <c:pt idx="5">
                  <c:v>-1.3261005134842074E-2</c:v>
                </c:pt>
                <c:pt idx="6">
                  <c:v>0</c:v>
                </c:pt>
                <c:pt idx="7">
                  <c:v>-0.1397598005359264</c:v>
                </c:pt>
                <c:pt idx="8">
                  <c:v>0.22561860466017025</c:v>
                </c:pt>
                <c:pt idx="9">
                  <c:v>0.42352935591800511</c:v>
                </c:pt>
                <c:pt idx="10">
                  <c:v>-0.74856723721021989</c:v>
                </c:pt>
                <c:pt idx="11">
                  <c:v>-0.14504801371621068</c:v>
                </c:pt>
                <c:pt idx="12">
                  <c:v>0</c:v>
                </c:pt>
                <c:pt idx="13">
                  <c:v>0</c:v>
                </c:pt>
                <c:pt idx="14">
                  <c:v>0.722296095402295</c:v>
                </c:pt>
                <c:pt idx="15">
                  <c:v>0.17613129348032741</c:v>
                </c:pt>
                <c:pt idx="16">
                  <c:v>0</c:v>
                </c:pt>
                <c:pt idx="17">
                  <c:v>5.8030505342259397E-2</c:v>
                </c:pt>
                <c:pt idx="18">
                  <c:v>-0.26941435936991032</c:v>
                </c:pt>
                <c:pt idx="19">
                  <c:v>0.17896736804670965</c:v>
                </c:pt>
                <c:pt idx="20">
                  <c:v>0.24650946465349866</c:v>
                </c:pt>
                <c:pt idx="21">
                  <c:v>0.46445453653998392</c:v>
                </c:pt>
                <c:pt idx="22">
                  <c:v>-0.34555325708642903</c:v>
                </c:pt>
                <c:pt idx="23">
                  <c:v>0.34791337492761087</c:v>
                </c:pt>
                <c:pt idx="24">
                  <c:v>-0.49255515228301161</c:v>
                </c:pt>
                <c:pt idx="25">
                  <c:v>-0.58962690272005114</c:v>
                </c:pt>
                <c:pt idx="26">
                  <c:v>-0.61841554961142564</c:v>
                </c:pt>
                <c:pt idx="27">
                  <c:v>0.48699464911869095</c:v>
                </c:pt>
                <c:pt idx="28">
                  <c:v>-0.19849610901999348</c:v>
                </c:pt>
                <c:pt idx="29">
                  <c:v>0</c:v>
                </c:pt>
                <c:pt idx="30">
                  <c:v>-0.55479571839213904</c:v>
                </c:pt>
                <c:pt idx="31">
                  <c:v>0</c:v>
                </c:pt>
                <c:pt idx="32">
                  <c:v>-0.45842188750649204</c:v>
                </c:pt>
                <c:pt idx="33">
                  <c:v>0.58964677461998916</c:v>
                </c:pt>
                <c:pt idx="34">
                  <c:v>-0.83014478761488264</c:v>
                </c:pt>
                <c:pt idx="35">
                  <c:v>-0.29068395995910601</c:v>
                </c:pt>
                <c:pt idx="36">
                  <c:v>0</c:v>
                </c:pt>
                <c:pt idx="37">
                  <c:v>-0.47072293769665663</c:v>
                </c:pt>
                <c:pt idx="38">
                  <c:v>-9.9527263206324657E-2</c:v>
                </c:pt>
                <c:pt idx="39">
                  <c:v>-0.74069111032026158</c:v>
                </c:pt>
                <c:pt idx="40">
                  <c:v>0.3324830248535926</c:v>
                </c:pt>
                <c:pt idx="41">
                  <c:v>1.6541163180231466E-2</c:v>
                </c:pt>
                <c:pt idx="42">
                  <c:v>0</c:v>
                </c:pt>
                <c:pt idx="43">
                  <c:v>0.45947456828453559</c:v>
                </c:pt>
                <c:pt idx="44">
                  <c:v>-0.36220426130262662</c:v>
                </c:pt>
                <c:pt idx="45">
                  <c:v>-6.3636147978757274E-2</c:v>
                </c:pt>
                <c:pt idx="46">
                  <c:v>6.13478668701124E-2</c:v>
                </c:pt>
                <c:pt idx="47">
                  <c:v>8.6248568917849378E-2</c:v>
                </c:pt>
                <c:pt idx="48">
                  <c:v>0.10009729446044302</c:v>
                </c:pt>
                <c:pt idx="49">
                  <c:v>-0.5551936021671704</c:v>
                </c:pt>
                <c:pt idx="50">
                  <c:v>-0.171276773837443</c:v>
                </c:pt>
                <c:pt idx="51">
                  <c:v>-0.12439050497446513</c:v>
                </c:pt>
                <c:pt idx="52">
                  <c:v>0.56079779517200468</c:v>
                </c:pt>
                <c:pt idx="53">
                  <c:v>0</c:v>
                </c:pt>
                <c:pt idx="54">
                  <c:v>0.41882933721476889</c:v>
                </c:pt>
                <c:pt idx="55">
                  <c:v>-0.62930047310775428</c:v>
                </c:pt>
                <c:pt idx="56">
                  <c:v>1.498842957258395E-2</c:v>
                </c:pt>
                <c:pt idx="57">
                  <c:v>-0.47875577400360414</c:v>
                </c:pt>
                <c:pt idx="58">
                  <c:v>0.26068944275833572</c:v>
                </c:pt>
                <c:pt idx="59">
                  <c:v>0</c:v>
                </c:pt>
                <c:pt idx="60">
                  <c:v>0</c:v>
                </c:pt>
                <c:pt idx="61">
                  <c:v>0.3515160390074723</c:v>
                </c:pt>
                <c:pt idx="62">
                  <c:v>0</c:v>
                </c:pt>
                <c:pt idx="63">
                  <c:v>0.52525362283579735</c:v>
                </c:pt>
                <c:pt idx="64">
                  <c:v>-0.56035128323818006</c:v>
                </c:pt>
                <c:pt idx="65">
                  <c:v>0.23546385890616883</c:v>
                </c:pt>
                <c:pt idx="66">
                  <c:v>0</c:v>
                </c:pt>
                <c:pt idx="67">
                  <c:v>-0.43357150935871935</c:v>
                </c:pt>
                <c:pt idx="68">
                  <c:v>0.29571496226171035</c:v>
                </c:pt>
                <c:pt idx="69">
                  <c:v>0</c:v>
                </c:pt>
                <c:pt idx="70">
                  <c:v>0.67016487797454438</c:v>
                </c:pt>
                <c:pt idx="71">
                  <c:v>-0.54504428884752398</c:v>
                </c:pt>
                <c:pt idx="72">
                  <c:v>0.46350021926809615</c:v>
                </c:pt>
                <c:pt idx="73">
                  <c:v>-0.614468799409841</c:v>
                </c:pt>
                <c:pt idx="74">
                  <c:v>-0.8888155286796493</c:v>
                </c:pt>
                <c:pt idx="75">
                  <c:v>-0.34554397878092802</c:v>
                </c:pt>
                <c:pt idx="76">
                  <c:v>0.63727103967348686</c:v>
                </c:pt>
                <c:pt idx="77">
                  <c:v>0.55111437880137792</c:v>
                </c:pt>
                <c:pt idx="78">
                  <c:v>-0.32842605104975187</c:v>
                </c:pt>
                <c:pt idx="79">
                  <c:v>7.3679185463475516E-2</c:v>
                </c:pt>
                <c:pt idx="80">
                  <c:v>0</c:v>
                </c:pt>
                <c:pt idx="81">
                  <c:v>0.54075444719046017</c:v>
                </c:pt>
                <c:pt idx="82">
                  <c:v>-0.54212974852337159</c:v>
                </c:pt>
                <c:pt idx="83">
                  <c:v>-0.84033783568222797</c:v>
                </c:pt>
                <c:pt idx="84">
                  <c:v>-0.9223905302475206</c:v>
                </c:pt>
                <c:pt idx="85">
                  <c:v>-0.69706353594084014</c:v>
                </c:pt>
                <c:pt idx="86">
                  <c:v>0.64536344465554896</c:v>
                </c:pt>
                <c:pt idx="87">
                  <c:v>0</c:v>
                </c:pt>
                <c:pt idx="88">
                  <c:v>0.60444528161135813</c:v>
                </c:pt>
                <c:pt idx="89">
                  <c:v>9.0013987827914699E-2</c:v>
                </c:pt>
                <c:pt idx="90">
                  <c:v>0.696377205266838</c:v>
                </c:pt>
                <c:pt idx="91">
                  <c:v>0.36134145244818794</c:v>
                </c:pt>
                <c:pt idx="92">
                  <c:v>-0.44769848406290591</c:v>
                </c:pt>
                <c:pt idx="93">
                  <c:v>0</c:v>
                </c:pt>
                <c:pt idx="94">
                  <c:v>0.51447042696880363</c:v>
                </c:pt>
                <c:pt idx="95">
                  <c:v>0.52176716585480287</c:v>
                </c:pt>
                <c:pt idx="96">
                  <c:v>0</c:v>
                </c:pt>
                <c:pt idx="97">
                  <c:v>-0.45591830456447546</c:v>
                </c:pt>
                <c:pt idx="98">
                  <c:v>0.30782613145357529</c:v>
                </c:pt>
                <c:pt idx="99">
                  <c:v>-0.78822833335961384</c:v>
                </c:pt>
                <c:pt idx="100">
                  <c:v>-0.3830739568064927</c:v>
                </c:pt>
                <c:pt idx="101">
                  <c:v>0</c:v>
                </c:pt>
                <c:pt idx="102">
                  <c:v>0.7016027992313667</c:v>
                </c:pt>
                <c:pt idx="103">
                  <c:v>-0.87144900652274337</c:v>
                </c:pt>
                <c:pt idx="104">
                  <c:v>-0.24354693213972478</c:v>
                </c:pt>
                <c:pt idx="105">
                  <c:v>0</c:v>
                </c:pt>
                <c:pt idx="106">
                  <c:v>0</c:v>
                </c:pt>
                <c:pt idx="107">
                  <c:v>0.69447112653602017</c:v>
                </c:pt>
                <c:pt idx="108">
                  <c:v>0.71581710063885207</c:v>
                </c:pt>
                <c:pt idx="109">
                  <c:v>0.87736249961296142</c:v>
                </c:pt>
                <c:pt idx="110">
                  <c:v>-0.55340230011069291</c:v>
                </c:pt>
                <c:pt idx="111">
                  <c:v>-0.26434435475456231</c:v>
                </c:pt>
                <c:pt idx="112">
                  <c:v>4.8253503164273681E-2</c:v>
                </c:pt>
                <c:pt idx="113">
                  <c:v>0</c:v>
                </c:pt>
                <c:pt idx="114">
                  <c:v>-0.67079066318985259</c:v>
                </c:pt>
                <c:pt idx="115">
                  <c:v>-0.46876738531574724</c:v>
                </c:pt>
                <c:pt idx="116">
                  <c:v>-0.32390347958867127</c:v>
                </c:pt>
                <c:pt idx="117">
                  <c:v>0</c:v>
                </c:pt>
                <c:pt idx="118">
                  <c:v>-8.7954073878900418E-2</c:v>
                </c:pt>
                <c:pt idx="119">
                  <c:v>-0.10251977617940167</c:v>
                </c:pt>
                <c:pt idx="120">
                  <c:v>0.39570217830845644</c:v>
                </c:pt>
                <c:pt idx="121">
                  <c:v>0.4997209038408168</c:v>
                </c:pt>
                <c:pt idx="122">
                  <c:v>-0.35719464025863434</c:v>
                </c:pt>
                <c:pt idx="123">
                  <c:v>-0.83473252659759445</c:v>
                </c:pt>
                <c:pt idx="124">
                  <c:v>0.66356451504686897</c:v>
                </c:pt>
                <c:pt idx="125">
                  <c:v>-0.93089963266734221</c:v>
                </c:pt>
                <c:pt idx="126">
                  <c:v>-0.54432858281433272</c:v>
                </c:pt>
                <c:pt idx="127">
                  <c:v>0</c:v>
                </c:pt>
                <c:pt idx="128">
                  <c:v>-5.5621514681921447E-2</c:v>
                </c:pt>
                <c:pt idx="129">
                  <c:v>0</c:v>
                </c:pt>
                <c:pt idx="130">
                  <c:v>-0.51494502667771225</c:v>
                </c:pt>
                <c:pt idx="131">
                  <c:v>0.65398463329127421</c:v>
                </c:pt>
                <c:pt idx="132">
                  <c:v>0</c:v>
                </c:pt>
                <c:pt idx="133">
                  <c:v>-0.75502037692607371</c:v>
                </c:pt>
                <c:pt idx="134">
                  <c:v>-3.476478394179372E-2</c:v>
                </c:pt>
                <c:pt idx="135">
                  <c:v>0</c:v>
                </c:pt>
                <c:pt idx="136">
                  <c:v>-0.52419966258283757</c:v>
                </c:pt>
                <c:pt idx="137">
                  <c:v>-0.42455230292977708</c:v>
                </c:pt>
                <c:pt idx="138">
                  <c:v>0.85851541709290746</c:v>
                </c:pt>
                <c:pt idx="139">
                  <c:v>-0.36822108745537085</c:v>
                </c:pt>
                <c:pt idx="140">
                  <c:v>-0.80328626189034225</c:v>
                </c:pt>
                <c:pt idx="141">
                  <c:v>-0.1241290917930904</c:v>
                </c:pt>
                <c:pt idx="142">
                  <c:v>-0.87795028820167098</c:v>
                </c:pt>
                <c:pt idx="143">
                  <c:v>0</c:v>
                </c:pt>
                <c:pt idx="144">
                  <c:v>0.41653763036588831</c:v>
                </c:pt>
                <c:pt idx="145">
                  <c:v>0</c:v>
                </c:pt>
                <c:pt idx="146">
                  <c:v>-0.15693013746324858</c:v>
                </c:pt>
                <c:pt idx="147">
                  <c:v>0</c:v>
                </c:pt>
                <c:pt idx="148">
                  <c:v>-5.1790571897639248E-2</c:v>
                </c:pt>
                <c:pt idx="149">
                  <c:v>-0.43997852131225579</c:v>
                </c:pt>
                <c:pt idx="150">
                  <c:v>2.3578901948010156E-2</c:v>
                </c:pt>
                <c:pt idx="151">
                  <c:v>-0.56066690665090579</c:v>
                </c:pt>
                <c:pt idx="152">
                  <c:v>-0.91616507136623859</c:v>
                </c:pt>
                <c:pt idx="153">
                  <c:v>-0.5289051866908685</c:v>
                </c:pt>
                <c:pt idx="154">
                  <c:v>-0.19784067097170732</c:v>
                </c:pt>
                <c:pt idx="155">
                  <c:v>-0.35563226526870029</c:v>
                </c:pt>
                <c:pt idx="156">
                  <c:v>0</c:v>
                </c:pt>
                <c:pt idx="157">
                  <c:v>0.49226800525523906</c:v>
                </c:pt>
                <c:pt idx="158">
                  <c:v>0.35479590184111864</c:v>
                </c:pt>
                <c:pt idx="159">
                  <c:v>0.48896381148774903</c:v>
                </c:pt>
                <c:pt idx="160">
                  <c:v>0.33792429027759252</c:v>
                </c:pt>
                <c:pt idx="161">
                  <c:v>0</c:v>
                </c:pt>
                <c:pt idx="162">
                  <c:v>0.83653398993259609</c:v>
                </c:pt>
                <c:pt idx="163">
                  <c:v>0.66369704072888114</c:v>
                </c:pt>
                <c:pt idx="164">
                  <c:v>0.66659748412099118</c:v>
                </c:pt>
                <c:pt idx="165">
                  <c:v>-0.49563925759237204</c:v>
                </c:pt>
                <c:pt idx="166">
                  <c:v>0.49130095379304284</c:v>
                </c:pt>
                <c:pt idx="167">
                  <c:v>-0.75347355153487539</c:v>
                </c:pt>
                <c:pt idx="168">
                  <c:v>0.2789655103597497</c:v>
                </c:pt>
                <c:pt idx="169">
                  <c:v>0.73174752111128449</c:v>
                </c:pt>
                <c:pt idx="170">
                  <c:v>0.57241943393967998</c:v>
                </c:pt>
                <c:pt idx="171">
                  <c:v>0</c:v>
                </c:pt>
                <c:pt idx="172">
                  <c:v>0</c:v>
                </c:pt>
                <c:pt idx="173">
                  <c:v>-0.10082314084382271</c:v>
                </c:pt>
                <c:pt idx="174">
                  <c:v>-0.63275272073003075</c:v>
                </c:pt>
                <c:pt idx="175">
                  <c:v>0.1350067885986046</c:v>
                </c:pt>
                <c:pt idx="176">
                  <c:v>0</c:v>
                </c:pt>
                <c:pt idx="177">
                  <c:v>0</c:v>
                </c:pt>
                <c:pt idx="178">
                  <c:v>-0.64605077510575026</c:v>
                </c:pt>
                <c:pt idx="179">
                  <c:v>-7.4389859727626906E-2</c:v>
                </c:pt>
                <c:pt idx="180">
                  <c:v>-0.14871309182303705</c:v>
                </c:pt>
                <c:pt idx="181">
                  <c:v>0.7857946267837741</c:v>
                </c:pt>
                <c:pt idx="182">
                  <c:v>-0.75701438291689516</c:v>
                </c:pt>
                <c:pt idx="183">
                  <c:v>0</c:v>
                </c:pt>
                <c:pt idx="184">
                  <c:v>-0.57683904922245355</c:v>
                </c:pt>
                <c:pt idx="185">
                  <c:v>0</c:v>
                </c:pt>
                <c:pt idx="186">
                  <c:v>0.88272638522178237</c:v>
                </c:pt>
                <c:pt idx="187">
                  <c:v>0</c:v>
                </c:pt>
                <c:pt idx="188">
                  <c:v>-5.2950222332490693E-3</c:v>
                </c:pt>
                <c:pt idx="189">
                  <c:v>0.59111860899541546</c:v>
                </c:pt>
                <c:pt idx="190">
                  <c:v>0.28214499948986171</c:v>
                </c:pt>
                <c:pt idx="191">
                  <c:v>0.89215333284014453</c:v>
                </c:pt>
                <c:pt idx="192">
                  <c:v>0</c:v>
                </c:pt>
                <c:pt idx="193">
                  <c:v>0.17655528719331759</c:v>
                </c:pt>
                <c:pt idx="194">
                  <c:v>0.29073544025429832</c:v>
                </c:pt>
                <c:pt idx="195">
                  <c:v>0.54935940174868159</c:v>
                </c:pt>
                <c:pt idx="196">
                  <c:v>-0.45101819038930802</c:v>
                </c:pt>
                <c:pt idx="197">
                  <c:v>0.22272548997852204</c:v>
                </c:pt>
                <c:pt idx="198">
                  <c:v>0.32240464531383095</c:v>
                </c:pt>
                <c:pt idx="199">
                  <c:v>0</c:v>
                </c:pt>
                <c:pt idx="200">
                  <c:v>0</c:v>
                </c:pt>
                <c:pt idx="201">
                  <c:v>-6.0679816761216587E-2</c:v>
                </c:pt>
                <c:pt idx="202">
                  <c:v>0.62399862750970891</c:v>
                </c:pt>
                <c:pt idx="203">
                  <c:v>0.62085696278725044</c:v>
                </c:pt>
                <c:pt idx="204">
                  <c:v>0</c:v>
                </c:pt>
                <c:pt idx="205">
                  <c:v>0</c:v>
                </c:pt>
                <c:pt idx="206">
                  <c:v>6.7368697634401897E-2</c:v>
                </c:pt>
                <c:pt idx="207">
                  <c:v>-0.80036354233093387</c:v>
                </c:pt>
                <c:pt idx="208">
                  <c:v>-0.42785336538509577</c:v>
                </c:pt>
                <c:pt idx="209">
                  <c:v>0.1479378975247474</c:v>
                </c:pt>
                <c:pt idx="210">
                  <c:v>-0.12193119212427517</c:v>
                </c:pt>
                <c:pt idx="211">
                  <c:v>-0.97218830170486004</c:v>
                </c:pt>
                <c:pt idx="212">
                  <c:v>0</c:v>
                </c:pt>
                <c:pt idx="213">
                  <c:v>0.17618029047808004</c:v>
                </c:pt>
                <c:pt idx="214">
                  <c:v>-0.75395816187007147</c:v>
                </c:pt>
                <c:pt idx="215">
                  <c:v>-0.88569517759199079</c:v>
                </c:pt>
                <c:pt idx="216">
                  <c:v>0</c:v>
                </c:pt>
                <c:pt idx="217">
                  <c:v>0</c:v>
                </c:pt>
                <c:pt idx="218">
                  <c:v>0.62395630765587473</c:v>
                </c:pt>
                <c:pt idx="219">
                  <c:v>0</c:v>
                </c:pt>
                <c:pt idx="220">
                  <c:v>0</c:v>
                </c:pt>
                <c:pt idx="221">
                  <c:v>-0.20649130027992157</c:v>
                </c:pt>
                <c:pt idx="222">
                  <c:v>-0.82401069023576046</c:v>
                </c:pt>
                <c:pt idx="223">
                  <c:v>-0.42378421919890874</c:v>
                </c:pt>
                <c:pt idx="224">
                  <c:v>0</c:v>
                </c:pt>
                <c:pt idx="225">
                  <c:v>0.94653873319961201</c:v>
                </c:pt>
                <c:pt idx="226">
                  <c:v>0</c:v>
                </c:pt>
                <c:pt idx="227">
                  <c:v>-0.71289667959765857</c:v>
                </c:pt>
                <c:pt idx="228">
                  <c:v>3.3886023886754435E-2</c:v>
                </c:pt>
                <c:pt idx="229">
                  <c:v>0.31911919798002497</c:v>
                </c:pt>
                <c:pt idx="230">
                  <c:v>0</c:v>
                </c:pt>
                <c:pt idx="231">
                  <c:v>-0.89067563275894246</c:v>
                </c:pt>
                <c:pt idx="232">
                  <c:v>-0.61253025398566785</c:v>
                </c:pt>
                <c:pt idx="233">
                  <c:v>0.80806132411947851</c:v>
                </c:pt>
                <c:pt idx="234">
                  <c:v>-0.3486061801882554</c:v>
                </c:pt>
                <c:pt idx="235">
                  <c:v>0</c:v>
                </c:pt>
                <c:pt idx="236">
                  <c:v>-2.1019483886335788E-2</c:v>
                </c:pt>
                <c:pt idx="237">
                  <c:v>0</c:v>
                </c:pt>
                <c:pt idx="238">
                  <c:v>0</c:v>
                </c:pt>
                <c:pt idx="239">
                  <c:v>-0.23399174153721725</c:v>
                </c:pt>
                <c:pt idx="240">
                  <c:v>0.48040295146441281</c:v>
                </c:pt>
                <c:pt idx="241">
                  <c:v>0.94712709853100563</c:v>
                </c:pt>
                <c:pt idx="242">
                  <c:v>0.22756931320858031</c:v>
                </c:pt>
                <c:pt idx="243">
                  <c:v>0</c:v>
                </c:pt>
                <c:pt idx="244">
                  <c:v>0</c:v>
                </c:pt>
                <c:pt idx="245">
                  <c:v>6.3741742550843306E-2</c:v>
                </c:pt>
                <c:pt idx="246">
                  <c:v>0.10528568684316664</c:v>
                </c:pt>
                <c:pt idx="247">
                  <c:v>0.23796639370725825</c:v>
                </c:pt>
                <c:pt idx="248">
                  <c:v>-0.32281669286623527</c:v>
                </c:pt>
                <c:pt idx="249">
                  <c:v>-0.23479453695629848</c:v>
                </c:pt>
                <c:pt idx="250">
                  <c:v>4.9205572559290367E-2</c:v>
                </c:pt>
                <c:pt idx="251">
                  <c:v>-0.34159200501039333</c:v>
                </c:pt>
                <c:pt idx="252">
                  <c:v>0.50680411363080258</c:v>
                </c:pt>
                <c:pt idx="253">
                  <c:v>-0.43171356028126429</c:v>
                </c:pt>
                <c:pt idx="254">
                  <c:v>-0.5417791524496649</c:v>
                </c:pt>
                <c:pt idx="255">
                  <c:v>-0.95689590857475082</c:v>
                </c:pt>
                <c:pt idx="256">
                  <c:v>0.22872233224077299</c:v>
                </c:pt>
                <c:pt idx="257">
                  <c:v>-0.8909492581297489</c:v>
                </c:pt>
                <c:pt idx="258">
                  <c:v>-0.16559876421244546</c:v>
                </c:pt>
                <c:pt idx="259">
                  <c:v>0.17192857402747719</c:v>
                </c:pt>
                <c:pt idx="260">
                  <c:v>-9.8876757486691114E-2</c:v>
                </c:pt>
                <c:pt idx="261">
                  <c:v>0</c:v>
                </c:pt>
                <c:pt idx="262">
                  <c:v>-7.3415691328212906E-2</c:v>
                </c:pt>
                <c:pt idx="263">
                  <c:v>-0.35075392725479015</c:v>
                </c:pt>
                <c:pt idx="264">
                  <c:v>0</c:v>
                </c:pt>
                <c:pt idx="265">
                  <c:v>-0.85932675998766639</c:v>
                </c:pt>
                <c:pt idx="266">
                  <c:v>0.16517656211626619</c:v>
                </c:pt>
                <c:pt idx="267">
                  <c:v>2.6159503812821505E-2</c:v>
                </c:pt>
                <c:pt idx="268">
                  <c:v>0.69921608683701142</c:v>
                </c:pt>
                <c:pt idx="269">
                  <c:v>3.7032856225939659E-2</c:v>
                </c:pt>
                <c:pt idx="270">
                  <c:v>0.16059536914819628</c:v>
                </c:pt>
                <c:pt idx="271">
                  <c:v>0.88392355804402767</c:v>
                </c:pt>
                <c:pt idx="272">
                  <c:v>4.157959935412503E-2</c:v>
                </c:pt>
                <c:pt idx="273">
                  <c:v>3.2522365981594747E-2</c:v>
                </c:pt>
                <c:pt idx="274">
                  <c:v>-0.70351426264648054</c:v>
                </c:pt>
                <c:pt idx="275">
                  <c:v>0.42319818816512766</c:v>
                </c:pt>
                <c:pt idx="276">
                  <c:v>-0.22421614405167256</c:v>
                </c:pt>
                <c:pt idx="277">
                  <c:v>0.18375576436100771</c:v>
                </c:pt>
                <c:pt idx="278">
                  <c:v>0.30888694389044535</c:v>
                </c:pt>
                <c:pt idx="279">
                  <c:v>0.422991719017348</c:v>
                </c:pt>
                <c:pt idx="280">
                  <c:v>0</c:v>
                </c:pt>
                <c:pt idx="281">
                  <c:v>0</c:v>
                </c:pt>
                <c:pt idx="282">
                  <c:v>0.2431971177658272</c:v>
                </c:pt>
                <c:pt idx="283">
                  <c:v>-4.2744003166577116E-2</c:v>
                </c:pt>
                <c:pt idx="284">
                  <c:v>-0.72820895610551117</c:v>
                </c:pt>
                <c:pt idx="285">
                  <c:v>0</c:v>
                </c:pt>
                <c:pt idx="286">
                  <c:v>0</c:v>
                </c:pt>
                <c:pt idx="287">
                  <c:v>-0.69703803295875155</c:v>
                </c:pt>
                <c:pt idx="288">
                  <c:v>-0.78681241491269027</c:v>
                </c:pt>
                <c:pt idx="289">
                  <c:v>0.1002803530895644</c:v>
                </c:pt>
                <c:pt idx="290">
                  <c:v>0.57123500198899357</c:v>
                </c:pt>
                <c:pt idx="291">
                  <c:v>-3.9801769344298021E-2</c:v>
                </c:pt>
                <c:pt idx="292">
                  <c:v>-0.18778366385865297</c:v>
                </c:pt>
                <c:pt idx="293">
                  <c:v>-0.17806313683640362</c:v>
                </c:pt>
                <c:pt idx="294">
                  <c:v>0.43545862363834975</c:v>
                </c:pt>
                <c:pt idx="295">
                  <c:v>-0.27904246790869025</c:v>
                </c:pt>
                <c:pt idx="296">
                  <c:v>-8.0316366067202161E-2</c:v>
                </c:pt>
                <c:pt idx="297">
                  <c:v>-0.75434518596670275</c:v>
                </c:pt>
                <c:pt idx="298">
                  <c:v>5.4384232127465237E-2</c:v>
                </c:pt>
                <c:pt idx="299">
                  <c:v>-0.29449940554401932</c:v>
                </c:pt>
                <c:pt idx="300">
                  <c:v>0</c:v>
                </c:pt>
                <c:pt idx="301">
                  <c:v>6.0033180688977117E-2</c:v>
                </c:pt>
                <c:pt idx="302">
                  <c:v>0.86814252879149589</c:v>
                </c:pt>
                <c:pt idx="303">
                  <c:v>0</c:v>
                </c:pt>
                <c:pt idx="304">
                  <c:v>0.1339224588043737</c:v>
                </c:pt>
                <c:pt idx="305">
                  <c:v>0</c:v>
                </c:pt>
                <c:pt idx="306">
                  <c:v>0.94903365123823513</c:v>
                </c:pt>
                <c:pt idx="307">
                  <c:v>-0.40349292054666863</c:v>
                </c:pt>
                <c:pt idx="308">
                  <c:v>0.2652795019703309</c:v>
                </c:pt>
                <c:pt idx="309">
                  <c:v>0</c:v>
                </c:pt>
                <c:pt idx="310">
                  <c:v>-0.2565702086886803</c:v>
                </c:pt>
                <c:pt idx="311">
                  <c:v>-0.51384729373676863</c:v>
                </c:pt>
                <c:pt idx="312">
                  <c:v>0</c:v>
                </c:pt>
                <c:pt idx="313">
                  <c:v>0.5207777225769048</c:v>
                </c:pt>
                <c:pt idx="314">
                  <c:v>0</c:v>
                </c:pt>
                <c:pt idx="315">
                  <c:v>-0.42816699835781691</c:v>
                </c:pt>
                <c:pt idx="316">
                  <c:v>0</c:v>
                </c:pt>
                <c:pt idx="317">
                  <c:v>-0.37809476541577314</c:v>
                </c:pt>
                <c:pt idx="318">
                  <c:v>0.79818818073911446</c:v>
                </c:pt>
                <c:pt idx="319">
                  <c:v>0.62064092929149828</c:v>
                </c:pt>
                <c:pt idx="320">
                  <c:v>-0.10770797179646152</c:v>
                </c:pt>
                <c:pt idx="321">
                  <c:v>0.23728772832096312</c:v>
                </c:pt>
                <c:pt idx="322">
                  <c:v>-0.22039461339376287</c:v>
                </c:pt>
                <c:pt idx="323">
                  <c:v>7.7863494004460687E-2</c:v>
                </c:pt>
                <c:pt idx="324">
                  <c:v>0</c:v>
                </c:pt>
                <c:pt idx="325">
                  <c:v>0.61338705338578103</c:v>
                </c:pt>
                <c:pt idx="326">
                  <c:v>-4.161513776969139E-2</c:v>
                </c:pt>
                <c:pt idx="327">
                  <c:v>-0.46093438412441179</c:v>
                </c:pt>
                <c:pt idx="328">
                  <c:v>0</c:v>
                </c:pt>
                <c:pt idx="329">
                  <c:v>-0.99372568595094557</c:v>
                </c:pt>
                <c:pt idx="330">
                  <c:v>-0.82082241287268265</c:v>
                </c:pt>
                <c:pt idx="331">
                  <c:v>-0.53094663940695486</c:v>
                </c:pt>
                <c:pt idx="332">
                  <c:v>1.4011274253683981E-2</c:v>
                </c:pt>
                <c:pt idx="333">
                  <c:v>-0.22483551609894237</c:v>
                </c:pt>
                <c:pt idx="334">
                  <c:v>-0.32871973590932657</c:v>
                </c:pt>
                <c:pt idx="335">
                  <c:v>0.15726785469659799</c:v>
                </c:pt>
                <c:pt idx="336">
                  <c:v>0</c:v>
                </c:pt>
                <c:pt idx="337">
                  <c:v>0</c:v>
                </c:pt>
                <c:pt idx="338">
                  <c:v>0.41774708715775466</c:v>
                </c:pt>
                <c:pt idx="339">
                  <c:v>0</c:v>
                </c:pt>
                <c:pt idx="340">
                  <c:v>0.59941435230178897</c:v>
                </c:pt>
                <c:pt idx="341">
                  <c:v>0.3008725486763284</c:v>
                </c:pt>
                <c:pt idx="342">
                  <c:v>-0.30246703358953031</c:v>
                </c:pt>
                <c:pt idx="343">
                  <c:v>5.0163372856114608E-2</c:v>
                </c:pt>
                <c:pt idx="344">
                  <c:v>2.2319235281246685E-2</c:v>
                </c:pt>
                <c:pt idx="345">
                  <c:v>0.6051420742440603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-0.83512151109953159</c:v>
                </c:pt>
                <c:pt idx="350">
                  <c:v>0</c:v>
                </c:pt>
                <c:pt idx="351">
                  <c:v>-0.36564115757469939</c:v>
                </c:pt>
                <c:pt idx="352">
                  <c:v>0</c:v>
                </c:pt>
                <c:pt idx="353">
                  <c:v>-0.58911332645647829</c:v>
                </c:pt>
                <c:pt idx="354">
                  <c:v>-0.86656661521007328</c:v>
                </c:pt>
                <c:pt idx="355">
                  <c:v>0.71511957618316391</c:v>
                </c:pt>
                <c:pt idx="356">
                  <c:v>-0.37355738239610514</c:v>
                </c:pt>
                <c:pt idx="357">
                  <c:v>0.93029337415526325</c:v>
                </c:pt>
                <c:pt idx="358">
                  <c:v>-4.989958422206886E-2</c:v>
                </c:pt>
                <c:pt idx="359">
                  <c:v>-0.42664732811957129</c:v>
                </c:pt>
                <c:pt idx="360">
                  <c:v>4.871027216682311E-3</c:v>
                </c:pt>
                <c:pt idx="361">
                  <c:v>0.55534687076919931</c:v>
                </c:pt>
                <c:pt idx="362">
                  <c:v>-0.910588132482961</c:v>
                </c:pt>
                <c:pt idx="363">
                  <c:v>0</c:v>
                </c:pt>
                <c:pt idx="364">
                  <c:v>0.48384472056714878</c:v>
                </c:pt>
                <c:pt idx="365">
                  <c:v>-0.43970270187437532</c:v>
                </c:pt>
                <c:pt idx="366">
                  <c:v>-0.48055499683447089</c:v>
                </c:pt>
                <c:pt idx="367">
                  <c:v>-0.7450741088754893</c:v>
                </c:pt>
                <c:pt idx="368">
                  <c:v>0</c:v>
                </c:pt>
                <c:pt idx="369">
                  <c:v>-0.38440156501660616</c:v>
                </c:pt>
                <c:pt idx="370">
                  <c:v>0</c:v>
                </c:pt>
                <c:pt idx="371">
                  <c:v>-0.26717573644055559</c:v>
                </c:pt>
                <c:pt idx="372">
                  <c:v>-0.67695777150384462</c:v>
                </c:pt>
                <c:pt idx="373">
                  <c:v>0.29407814187870374</c:v>
                </c:pt>
                <c:pt idx="374">
                  <c:v>0.55795447873395987</c:v>
                </c:pt>
                <c:pt idx="375">
                  <c:v>0</c:v>
                </c:pt>
                <c:pt idx="376">
                  <c:v>-0.37538987924561074</c:v>
                </c:pt>
                <c:pt idx="377">
                  <c:v>-0.3501565947114782</c:v>
                </c:pt>
                <c:pt idx="378">
                  <c:v>0.1184964756386977</c:v>
                </c:pt>
                <c:pt idx="379">
                  <c:v>0.37148124721544029</c:v>
                </c:pt>
                <c:pt idx="380">
                  <c:v>-0.6464571299655828</c:v>
                </c:pt>
                <c:pt idx="381">
                  <c:v>0.36936745640412605</c:v>
                </c:pt>
                <c:pt idx="382">
                  <c:v>-0.97143222729886425</c:v>
                </c:pt>
                <c:pt idx="383">
                  <c:v>-0.52050830759954736</c:v>
                </c:pt>
                <c:pt idx="384">
                  <c:v>-6.4624429786916737E-2</c:v>
                </c:pt>
                <c:pt idx="385">
                  <c:v>0.19855676681031653</c:v>
                </c:pt>
                <c:pt idx="386">
                  <c:v>-0.47805430016442352</c:v>
                </c:pt>
                <c:pt idx="387">
                  <c:v>0</c:v>
                </c:pt>
                <c:pt idx="388">
                  <c:v>0</c:v>
                </c:pt>
                <c:pt idx="389">
                  <c:v>6.2675380592450036E-2</c:v>
                </c:pt>
                <c:pt idx="390">
                  <c:v>0.28396847391363034</c:v>
                </c:pt>
                <c:pt idx="391">
                  <c:v>0</c:v>
                </c:pt>
                <c:pt idx="392">
                  <c:v>0.76500529467889233</c:v>
                </c:pt>
                <c:pt idx="393">
                  <c:v>0.41475486839870057</c:v>
                </c:pt>
                <c:pt idx="394">
                  <c:v>-0.89324745552508089</c:v>
                </c:pt>
                <c:pt idx="395">
                  <c:v>0.26606926363413064</c:v>
                </c:pt>
                <c:pt idx="396">
                  <c:v>-0.52478128277546654</c:v>
                </c:pt>
                <c:pt idx="397">
                  <c:v>0.85515587297050533</c:v>
                </c:pt>
                <c:pt idx="398">
                  <c:v>-6.2825860897857133E-3</c:v>
                </c:pt>
                <c:pt idx="399">
                  <c:v>3.8130910908071636E-2</c:v>
                </c:pt>
                <c:pt idx="400">
                  <c:v>-0.26095707873296958</c:v>
                </c:pt>
                <c:pt idx="401">
                  <c:v>0.64202037632238462</c:v>
                </c:pt>
                <c:pt idx="402">
                  <c:v>-0.91418813716451242</c:v>
                </c:pt>
                <c:pt idx="403">
                  <c:v>0.76744462263510416</c:v>
                </c:pt>
                <c:pt idx="404">
                  <c:v>0</c:v>
                </c:pt>
                <c:pt idx="405">
                  <c:v>5.2876724285755738E-2</c:v>
                </c:pt>
                <c:pt idx="406">
                  <c:v>0.29646191123993804</c:v>
                </c:pt>
                <c:pt idx="407">
                  <c:v>-0.66908401091125591</c:v>
                </c:pt>
                <c:pt idx="408">
                  <c:v>0</c:v>
                </c:pt>
                <c:pt idx="409">
                  <c:v>0</c:v>
                </c:pt>
                <c:pt idx="410">
                  <c:v>-0.1808241974072986</c:v>
                </c:pt>
                <c:pt idx="411">
                  <c:v>0.10721590930794611</c:v>
                </c:pt>
                <c:pt idx="412">
                  <c:v>-0.57156951534127165</c:v>
                </c:pt>
                <c:pt idx="413">
                  <c:v>-6.0599841611408412E-2</c:v>
                </c:pt>
                <c:pt idx="414">
                  <c:v>0.72574645848119967</c:v>
                </c:pt>
                <c:pt idx="415">
                  <c:v>0.60344211781638979</c:v>
                </c:pt>
                <c:pt idx="416">
                  <c:v>-0.15258456865491676</c:v>
                </c:pt>
                <c:pt idx="417">
                  <c:v>-3.6943487017184973E-2</c:v>
                </c:pt>
                <c:pt idx="418">
                  <c:v>-0.53203214108489072</c:v>
                </c:pt>
                <c:pt idx="419">
                  <c:v>-8.1335565213107142E-2</c:v>
                </c:pt>
                <c:pt idx="420">
                  <c:v>-0.7031371249174081</c:v>
                </c:pt>
                <c:pt idx="421">
                  <c:v>-0.39455981219825298</c:v>
                </c:pt>
                <c:pt idx="422">
                  <c:v>0</c:v>
                </c:pt>
                <c:pt idx="423">
                  <c:v>0.69797855649322504</c:v>
                </c:pt>
                <c:pt idx="424">
                  <c:v>0.58084379264247299</c:v>
                </c:pt>
                <c:pt idx="425">
                  <c:v>-0.58153375387704154</c:v>
                </c:pt>
                <c:pt idx="426">
                  <c:v>0</c:v>
                </c:pt>
                <c:pt idx="427">
                  <c:v>-0.89747778387088739</c:v>
                </c:pt>
                <c:pt idx="428">
                  <c:v>0.2170052142085459</c:v>
                </c:pt>
                <c:pt idx="429">
                  <c:v>0.64501598106898705</c:v>
                </c:pt>
                <c:pt idx="430">
                  <c:v>0</c:v>
                </c:pt>
                <c:pt idx="431">
                  <c:v>-0.78100522113567417</c:v>
                </c:pt>
                <c:pt idx="432">
                  <c:v>0.3365782967480242</c:v>
                </c:pt>
                <c:pt idx="433">
                  <c:v>0</c:v>
                </c:pt>
                <c:pt idx="434">
                  <c:v>1.8698707252372326E-2</c:v>
                </c:pt>
                <c:pt idx="435">
                  <c:v>-0.13331746400478184</c:v>
                </c:pt>
                <c:pt idx="436">
                  <c:v>0</c:v>
                </c:pt>
                <c:pt idx="437">
                  <c:v>-0.8946395740318227</c:v>
                </c:pt>
                <c:pt idx="438">
                  <c:v>-0.1261872203656067</c:v>
                </c:pt>
                <c:pt idx="439">
                  <c:v>-0.80297370960123482</c:v>
                </c:pt>
                <c:pt idx="440">
                  <c:v>-0.13329682425068112</c:v>
                </c:pt>
                <c:pt idx="441">
                  <c:v>0</c:v>
                </c:pt>
                <c:pt idx="442">
                  <c:v>-0.59719735945296559</c:v>
                </c:pt>
                <c:pt idx="443">
                  <c:v>0.88254500754592136</c:v>
                </c:pt>
                <c:pt idx="444">
                  <c:v>0.35714099205926142</c:v>
                </c:pt>
                <c:pt idx="445">
                  <c:v>-5.293977944608752E-2</c:v>
                </c:pt>
                <c:pt idx="446">
                  <c:v>2.0894075724604555E-3</c:v>
                </c:pt>
                <c:pt idx="447">
                  <c:v>0</c:v>
                </c:pt>
                <c:pt idx="448">
                  <c:v>0.40235382086476368</c:v>
                </c:pt>
                <c:pt idx="449">
                  <c:v>0</c:v>
                </c:pt>
                <c:pt idx="450">
                  <c:v>0.54695310863247415</c:v>
                </c:pt>
                <c:pt idx="451">
                  <c:v>0.81871706769705477</c:v>
                </c:pt>
                <c:pt idx="452">
                  <c:v>-0.28764051025938397</c:v>
                </c:pt>
                <c:pt idx="453">
                  <c:v>0.12687466247417922</c:v>
                </c:pt>
                <c:pt idx="454">
                  <c:v>0</c:v>
                </c:pt>
                <c:pt idx="455">
                  <c:v>0.77684394002401325</c:v>
                </c:pt>
                <c:pt idx="456">
                  <c:v>0.56725050708062463</c:v>
                </c:pt>
                <c:pt idx="457">
                  <c:v>-0.68717996303418349</c:v>
                </c:pt>
                <c:pt idx="458">
                  <c:v>0</c:v>
                </c:pt>
                <c:pt idx="459">
                  <c:v>0.33794318695040326</c:v>
                </c:pt>
                <c:pt idx="460">
                  <c:v>-0.32972762531621158</c:v>
                </c:pt>
                <c:pt idx="461">
                  <c:v>0</c:v>
                </c:pt>
                <c:pt idx="462">
                  <c:v>-0.86336979226153021</c:v>
                </c:pt>
                <c:pt idx="463">
                  <c:v>0</c:v>
                </c:pt>
                <c:pt idx="464">
                  <c:v>0.21807604002791736</c:v>
                </c:pt>
                <c:pt idx="465">
                  <c:v>-0.53843245906822124</c:v>
                </c:pt>
                <c:pt idx="466">
                  <c:v>0</c:v>
                </c:pt>
                <c:pt idx="467">
                  <c:v>0</c:v>
                </c:pt>
                <c:pt idx="468">
                  <c:v>-0.37751693327270486</c:v>
                </c:pt>
                <c:pt idx="469">
                  <c:v>0.27226932870497378</c:v>
                </c:pt>
                <c:pt idx="470">
                  <c:v>-0.29450756807595524</c:v>
                </c:pt>
                <c:pt idx="471">
                  <c:v>0.20671768932049894</c:v>
                </c:pt>
                <c:pt idx="472">
                  <c:v>0.35617669055971257</c:v>
                </c:pt>
                <c:pt idx="473">
                  <c:v>-0.35524721676499982</c:v>
                </c:pt>
                <c:pt idx="474">
                  <c:v>-0.93713920342232626</c:v>
                </c:pt>
                <c:pt idx="475">
                  <c:v>0</c:v>
                </c:pt>
                <c:pt idx="476">
                  <c:v>0.43502314587250668</c:v>
                </c:pt>
                <c:pt idx="477">
                  <c:v>-0.76809940274049926</c:v>
                </c:pt>
                <c:pt idx="478">
                  <c:v>0</c:v>
                </c:pt>
                <c:pt idx="479">
                  <c:v>-8.8440851182440827E-3</c:v>
                </c:pt>
                <c:pt idx="480">
                  <c:v>-0.43338924087095831</c:v>
                </c:pt>
                <c:pt idx="481">
                  <c:v>-0.26581052943725125</c:v>
                </c:pt>
                <c:pt idx="482">
                  <c:v>0.31692057492149472</c:v>
                </c:pt>
                <c:pt idx="483">
                  <c:v>0</c:v>
                </c:pt>
                <c:pt idx="484">
                  <c:v>0</c:v>
                </c:pt>
                <c:pt idx="485">
                  <c:v>0.73907922517243474</c:v>
                </c:pt>
                <c:pt idx="486">
                  <c:v>-0.29508766975424527</c:v>
                </c:pt>
                <c:pt idx="487">
                  <c:v>0.79739906434740004</c:v>
                </c:pt>
                <c:pt idx="488">
                  <c:v>-0.77721487662869126</c:v>
                </c:pt>
                <c:pt idx="489">
                  <c:v>-0.42424786515930757</c:v>
                </c:pt>
                <c:pt idx="490">
                  <c:v>-0.3231331470310852</c:v>
                </c:pt>
                <c:pt idx="491">
                  <c:v>0</c:v>
                </c:pt>
                <c:pt idx="492">
                  <c:v>-9.7211038541455519E-2</c:v>
                </c:pt>
                <c:pt idx="493">
                  <c:v>0</c:v>
                </c:pt>
                <c:pt idx="494">
                  <c:v>-0.62472289432864359</c:v>
                </c:pt>
                <c:pt idx="495">
                  <c:v>0.81642911101190418</c:v>
                </c:pt>
                <c:pt idx="496">
                  <c:v>0</c:v>
                </c:pt>
                <c:pt idx="497">
                  <c:v>0.27202911625765802</c:v>
                </c:pt>
                <c:pt idx="498">
                  <c:v>-0.70825350282789246</c:v>
                </c:pt>
                <c:pt idx="499">
                  <c:v>-0.4554161476106986</c:v>
                </c:pt>
                <c:pt idx="500">
                  <c:v>0</c:v>
                </c:pt>
                <c:pt idx="501">
                  <c:v>-8.3019114128110028E-2</c:v>
                </c:pt>
                <c:pt idx="502">
                  <c:v>-0.32461047003340382</c:v>
                </c:pt>
                <c:pt idx="503">
                  <c:v>-0.17500562855947277</c:v>
                </c:pt>
                <c:pt idx="504">
                  <c:v>0</c:v>
                </c:pt>
                <c:pt idx="505">
                  <c:v>-2.1297433646650266E-2</c:v>
                </c:pt>
                <c:pt idx="506">
                  <c:v>0.5938984180548692</c:v>
                </c:pt>
                <c:pt idx="507">
                  <c:v>-0.38153345112309145</c:v>
                </c:pt>
                <c:pt idx="508">
                  <c:v>-0.68280289666062988</c:v>
                </c:pt>
                <c:pt idx="509">
                  <c:v>3.4763087969865269E-2</c:v>
                </c:pt>
                <c:pt idx="510">
                  <c:v>-0.46592338358914831</c:v>
                </c:pt>
                <c:pt idx="511">
                  <c:v>0</c:v>
                </c:pt>
                <c:pt idx="512">
                  <c:v>-0.85805982782186496</c:v>
                </c:pt>
                <c:pt idx="513">
                  <c:v>-0.50231866678353221</c:v>
                </c:pt>
                <c:pt idx="514">
                  <c:v>0.21232371509023373</c:v>
                </c:pt>
                <c:pt idx="515">
                  <c:v>0.30744801773197428</c:v>
                </c:pt>
                <c:pt idx="516">
                  <c:v>0.48217948959575541</c:v>
                </c:pt>
                <c:pt idx="517">
                  <c:v>0.22938850719188442</c:v>
                </c:pt>
                <c:pt idx="518">
                  <c:v>-0.47767260469635886</c:v>
                </c:pt>
                <c:pt idx="519">
                  <c:v>-0.2616669964393441</c:v>
                </c:pt>
                <c:pt idx="520">
                  <c:v>0</c:v>
                </c:pt>
                <c:pt idx="521">
                  <c:v>-0.73896921896849332</c:v>
                </c:pt>
                <c:pt idx="522">
                  <c:v>-0.10548399355317351</c:v>
                </c:pt>
                <c:pt idx="523">
                  <c:v>-0.70711677303207576</c:v>
                </c:pt>
                <c:pt idx="524">
                  <c:v>0.26554510670338138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1.6802644847875303E-2</c:v>
                </c:pt>
                <c:pt idx="529">
                  <c:v>0.32957210248075719</c:v>
                </c:pt>
                <c:pt idx="530">
                  <c:v>-0.99637469666393841</c:v>
                </c:pt>
                <c:pt idx="531">
                  <c:v>-0.88126179741072153</c:v>
                </c:pt>
                <c:pt idx="532">
                  <c:v>0</c:v>
                </c:pt>
                <c:pt idx="533">
                  <c:v>0</c:v>
                </c:pt>
                <c:pt idx="534">
                  <c:v>-5.7222572140562145E-2</c:v>
                </c:pt>
                <c:pt idx="535">
                  <c:v>0</c:v>
                </c:pt>
                <c:pt idx="536">
                  <c:v>-0.53134718907772172</c:v>
                </c:pt>
                <c:pt idx="537">
                  <c:v>0.66128067965052906</c:v>
                </c:pt>
                <c:pt idx="538">
                  <c:v>0</c:v>
                </c:pt>
                <c:pt idx="539">
                  <c:v>-0.38608809219332652</c:v>
                </c:pt>
                <c:pt idx="540">
                  <c:v>-0.19980550117713314</c:v>
                </c:pt>
                <c:pt idx="541">
                  <c:v>-0.4498813618646722</c:v>
                </c:pt>
                <c:pt idx="542">
                  <c:v>-0.13733258447528884</c:v>
                </c:pt>
                <c:pt idx="543">
                  <c:v>0.4123225065636551</c:v>
                </c:pt>
                <c:pt idx="544">
                  <c:v>0</c:v>
                </c:pt>
                <c:pt idx="545">
                  <c:v>-0.13879508104435767</c:v>
                </c:pt>
                <c:pt idx="546">
                  <c:v>0.22000969568474571</c:v>
                </c:pt>
                <c:pt idx="547">
                  <c:v>-0.65690047401515672</c:v>
                </c:pt>
                <c:pt idx="548">
                  <c:v>0.49187672271223759</c:v>
                </c:pt>
                <c:pt idx="549">
                  <c:v>0</c:v>
                </c:pt>
                <c:pt idx="550">
                  <c:v>0.73374722907946865</c:v>
                </c:pt>
                <c:pt idx="551">
                  <c:v>0</c:v>
                </c:pt>
                <c:pt idx="552">
                  <c:v>-0.51180709951308834</c:v>
                </c:pt>
                <c:pt idx="553">
                  <c:v>-0.85687300948416589</c:v>
                </c:pt>
                <c:pt idx="554">
                  <c:v>0</c:v>
                </c:pt>
                <c:pt idx="555">
                  <c:v>0</c:v>
                </c:pt>
                <c:pt idx="556">
                  <c:v>-0.73042968434368705</c:v>
                </c:pt>
                <c:pt idx="557">
                  <c:v>0.47743645283509251</c:v>
                </c:pt>
                <c:pt idx="558">
                  <c:v>0.5296597355808732</c:v>
                </c:pt>
                <c:pt idx="559">
                  <c:v>0</c:v>
                </c:pt>
                <c:pt idx="560">
                  <c:v>0.79331052841718019</c:v>
                </c:pt>
                <c:pt idx="561">
                  <c:v>-0.37436584633009051</c:v>
                </c:pt>
                <c:pt idx="562">
                  <c:v>6.13581658754212E-2</c:v>
                </c:pt>
                <c:pt idx="563">
                  <c:v>-0.30822439799604839</c:v>
                </c:pt>
                <c:pt idx="564">
                  <c:v>0</c:v>
                </c:pt>
                <c:pt idx="565">
                  <c:v>-0.19694418374209954</c:v>
                </c:pt>
                <c:pt idx="566">
                  <c:v>0</c:v>
                </c:pt>
                <c:pt idx="567">
                  <c:v>-0.36058845270349993</c:v>
                </c:pt>
                <c:pt idx="568">
                  <c:v>0.18113070898987038</c:v>
                </c:pt>
                <c:pt idx="569">
                  <c:v>0</c:v>
                </c:pt>
                <c:pt idx="570">
                  <c:v>-5.5232072117439968E-2</c:v>
                </c:pt>
                <c:pt idx="571">
                  <c:v>0.41929955144135977</c:v>
                </c:pt>
                <c:pt idx="572">
                  <c:v>0.67435787234245037</c:v>
                </c:pt>
                <c:pt idx="573">
                  <c:v>0</c:v>
                </c:pt>
                <c:pt idx="574">
                  <c:v>-0.25987769616013279</c:v>
                </c:pt>
                <c:pt idx="575">
                  <c:v>-0.85176331874496336</c:v>
                </c:pt>
                <c:pt idx="576">
                  <c:v>0.19142555246902027</c:v>
                </c:pt>
                <c:pt idx="577">
                  <c:v>-8.2290133882115812E-2</c:v>
                </c:pt>
                <c:pt idx="578">
                  <c:v>1.5487297204106687E-2</c:v>
                </c:pt>
                <c:pt idx="579">
                  <c:v>-0.80005792920033714</c:v>
                </c:pt>
                <c:pt idx="580">
                  <c:v>-0.4457912850403658</c:v>
                </c:pt>
                <c:pt idx="581">
                  <c:v>-0.24442911457892902</c:v>
                </c:pt>
                <c:pt idx="582">
                  <c:v>0.80832051341923394</c:v>
                </c:pt>
                <c:pt idx="583">
                  <c:v>-0.57680758822409595</c:v>
                </c:pt>
                <c:pt idx="584">
                  <c:v>0</c:v>
                </c:pt>
                <c:pt idx="585">
                  <c:v>0.87898005789091571</c:v>
                </c:pt>
                <c:pt idx="586">
                  <c:v>-0.71861250857966352</c:v>
                </c:pt>
                <c:pt idx="587">
                  <c:v>0.39899497091093328</c:v>
                </c:pt>
                <c:pt idx="588">
                  <c:v>0.87342463391189407</c:v>
                </c:pt>
                <c:pt idx="589">
                  <c:v>-0.65042509120194847</c:v>
                </c:pt>
                <c:pt idx="590">
                  <c:v>0</c:v>
                </c:pt>
                <c:pt idx="591">
                  <c:v>-0.39395389393402103</c:v>
                </c:pt>
                <c:pt idx="592">
                  <c:v>0</c:v>
                </c:pt>
                <c:pt idx="593">
                  <c:v>-0.65505940437526955</c:v>
                </c:pt>
                <c:pt idx="594">
                  <c:v>0.1336077154921822</c:v>
                </c:pt>
                <c:pt idx="595">
                  <c:v>0.41376921815615342</c:v>
                </c:pt>
                <c:pt idx="596">
                  <c:v>0</c:v>
                </c:pt>
                <c:pt idx="597">
                  <c:v>-9.2566102699596309E-2</c:v>
                </c:pt>
                <c:pt idx="598">
                  <c:v>0</c:v>
                </c:pt>
                <c:pt idx="599">
                  <c:v>0</c:v>
                </c:pt>
                <c:pt idx="600">
                  <c:v>0.27901427469705342</c:v>
                </c:pt>
                <c:pt idx="601">
                  <c:v>0</c:v>
                </c:pt>
                <c:pt idx="602">
                  <c:v>0.35505124253691478</c:v>
                </c:pt>
                <c:pt idx="603">
                  <c:v>-0.2142521228162515</c:v>
                </c:pt>
                <c:pt idx="604">
                  <c:v>0</c:v>
                </c:pt>
                <c:pt idx="605">
                  <c:v>0</c:v>
                </c:pt>
                <c:pt idx="606">
                  <c:v>-0.44895629125606074</c:v>
                </c:pt>
                <c:pt idx="607">
                  <c:v>0.67368947940095913</c:v>
                </c:pt>
                <c:pt idx="608">
                  <c:v>0.17424429727694313</c:v>
                </c:pt>
                <c:pt idx="609">
                  <c:v>0</c:v>
                </c:pt>
                <c:pt idx="610">
                  <c:v>0.88326137148740269</c:v>
                </c:pt>
                <c:pt idx="611">
                  <c:v>0.28121953799768273</c:v>
                </c:pt>
                <c:pt idx="612">
                  <c:v>-0.32599738011866886</c:v>
                </c:pt>
                <c:pt idx="613">
                  <c:v>0.51744858989519171</c:v>
                </c:pt>
                <c:pt idx="614">
                  <c:v>3.8228643346265079E-2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0.81159975749308289</c:v>
                </c:pt>
                <c:pt idx="619">
                  <c:v>-0.52946310141548114</c:v>
                </c:pt>
                <c:pt idx="620">
                  <c:v>-0.53856874529536847</c:v>
                </c:pt>
                <c:pt idx="621">
                  <c:v>0.26509812090394025</c:v>
                </c:pt>
                <c:pt idx="622">
                  <c:v>-0.22353507002210615</c:v>
                </c:pt>
                <c:pt idx="623">
                  <c:v>0.33017228329563775</c:v>
                </c:pt>
                <c:pt idx="624">
                  <c:v>0</c:v>
                </c:pt>
                <c:pt idx="625">
                  <c:v>0.65044817995294446</c:v>
                </c:pt>
                <c:pt idx="626">
                  <c:v>0</c:v>
                </c:pt>
                <c:pt idx="627">
                  <c:v>0.46299223334313711</c:v>
                </c:pt>
                <c:pt idx="628">
                  <c:v>0</c:v>
                </c:pt>
                <c:pt idx="629">
                  <c:v>-9.0034841125212761E-2</c:v>
                </c:pt>
                <c:pt idx="630">
                  <c:v>-0.33213477296947236</c:v>
                </c:pt>
                <c:pt idx="631">
                  <c:v>-0.58905874937205005</c:v>
                </c:pt>
                <c:pt idx="632">
                  <c:v>0.38134663393187829</c:v>
                </c:pt>
                <c:pt idx="633">
                  <c:v>2.158787216618685E-2</c:v>
                </c:pt>
                <c:pt idx="634">
                  <c:v>-0.88954977492541776</c:v>
                </c:pt>
                <c:pt idx="635">
                  <c:v>0</c:v>
                </c:pt>
                <c:pt idx="636">
                  <c:v>0.63982862070012181</c:v>
                </c:pt>
                <c:pt idx="637">
                  <c:v>0</c:v>
                </c:pt>
                <c:pt idx="638">
                  <c:v>-9.1791211206160517E-2</c:v>
                </c:pt>
                <c:pt idx="639">
                  <c:v>0</c:v>
                </c:pt>
                <c:pt idx="640">
                  <c:v>-7.2173040058658877E-2</c:v>
                </c:pt>
                <c:pt idx="641">
                  <c:v>0.25346743789327708</c:v>
                </c:pt>
                <c:pt idx="642">
                  <c:v>0.9628206943697093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-0.5917884789104717</c:v>
                </c:pt>
                <c:pt idx="647">
                  <c:v>0.37023639459175905</c:v>
                </c:pt>
                <c:pt idx="648">
                  <c:v>0.36328712999322743</c:v>
                </c:pt>
                <c:pt idx="649">
                  <c:v>0.35238380428598903</c:v>
                </c:pt>
                <c:pt idx="650">
                  <c:v>0</c:v>
                </c:pt>
                <c:pt idx="651">
                  <c:v>-0.50190971333695811</c:v>
                </c:pt>
                <c:pt idx="652">
                  <c:v>-0.31132298829362992</c:v>
                </c:pt>
                <c:pt idx="653">
                  <c:v>-0.44411471439204786</c:v>
                </c:pt>
                <c:pt idx="654">
                  <c:v>0.39948340122588233</c:v>
                </c:pt>
                <c:pt idx="655">
                  <c:v>-0.74700590368384834</c:v>
                </c:pt>
                <c:pt idx="656">
                  <c:v>-0.47080598602835755</c:v>
                </c:pt>
                <c:pt idx="657">
                  <c:v>0.81060770949040695</c:v>
                </c:pt>
                <c:pt idx="658">
                  <c:v>0.49872149121698373</c:v>
                </c:pt>
                <c:pt idx="659">
                  <c:v>-1.6312604411071296E-2</c:v>
                </c:pt>
                <c:pt idx="660">
                  <c:v>-0.3967004613950782</c:v>
                </c:pt>
                <c:pt idx="661">
                  <c:v>-0.27591090076545211</c:v>
                </c:pt>
                <c:pt idx="662">
                  <c:v>0</c:v>
                </c:pt>
                <c:pt idx="663">
                  <c:v>-0.41816333046470922</c:v>
                </c:pt>
                <c:pt idx="664">
                  <c:v>0.76305910250539455</c:v>
                </c:pt>
                <c:pt idx="665">
                  <c:v>0</c:v>
                </c:pt>
                <c:pt idx="666">
                  <c:v>0.43647471238842828</c:v>
                </c:pt>
                <c:pt idx="667">
                  <c:v>-0.96287046014699018</c:v>
                </c:pt>
                <c:pt idx="668">
                  <c:v>0.28393922973852503</c:v>
                </c:pt>
                <c:pt idx="669">
                  <c:v>0.57573353980685193</c:v>
                </c:pt>
                <c:pt idx="670">
                  <c:v>0.84819050971474996</c:v>
                </c:pt>
                <c:pt idx="671">
                  <c:v>-0.49558959564873217</c:v>
                </c:pt>
                <c:pt idx="672">
                  <c:v>-0.1684597570928601</c:v>
                </c:pt>
                <c:pt idx="673">
                  <c:v>0</c:v>
                </c:pt>
                <c:pt idx="674">
                  <c:v>-0.14830367893642915</c:v>
                </c:pt>
                <c:pt idx="675">
                  <c:v>-1.5862140795983359E-2</c:v>
                </c:pt>
                <c:pt idx="676">
                  <c:v>0</c:v>
                </c:pt>
                <c:pt idx="677">
                  <c:v>0.4849356846053865</c:v>
                </c:pt>
                <c:pt idx="678">
                  <c:v>0.85571096793030677</c:v>
                </c:pt>
                <c:pt idx="679">
                  <c:v>0.36519682452564894</c:v>
                </c:pt>
                <c:pt idx="680">
                  <c:v>-0.44848333117763084</c:v>
                </c:pt>
                <c:pt idx="681">
                  <c:v>0</c:v>
                </c:pt>
                <c:pt idx="682">
                  <c:v>-4.5851682444697284E-2</c:v>
                </c:pt>
                <c:pt idx="683">
                  <c:v>-0.23547611690923675</c:v>
                </c:pt>
                <c:pt idx="684">
                  <c:v>0.48090467528248615</c:v>
                </c:pt>
                <c:pt idx="685">
                  <c:v>0.39051066677788215</c:v>
                </c:pt>
                <c:pt idx="686">
                  <c:v>0.14150391562693843</c:v>
                </c:pt>
                <c:pt idx="687">
                  <c:v>-9.7248685695230153E-2</c:v>
                </c:pt>
                <c:pt idx="688">
                  <c:v>0</c:v>
                </c:pt>
                <c:pt idx="689">
                  <c:v>-0.48008148042005883</c:v>
                </c:pt>
                <c:pt idx="690">
                  <c:v>-0.23461332815276936</c:v>
                </c:pt>
                <c:pt idx="691">
                  <c:v>0.2000453292205373</c:v>
                </c:pt>
                <c:pt idx="692">
                  <c:v>2.2443350013902519E-2</c:v>
                </c:pt>
                <c:pt idx="693">
                  <c:v>-0.21605617009434086</c:v>
                </c:pt>
                <c:pt idx="694">
                  <c:v>-0.80387103421688333</c:v>
                </c:pt>
                <c:pt idx="695">
                  <c:v>-0.31380448940876415</c:v>
                </c:pt>
                <c:pt idx="696">
                  <c:v>0.31741713324413601</c:v>
                </c:pt>
                <c:pt idx="697">
                  <c:v>-0.74988344840295329</c:v>
                </c:pt>
                <c:pt idx="698">
                  <c:v>0.43240366065684577</c:v>
                </c:pt>
                <c:pt idx="699">
                  <c:v>0</c:v>
                </c:pt>
                <c:pt idx="700">
                  <c:v>-0.14307603332190544</c:v>
                </c:pt>
                <c:pt idx="701">
                  <c:v>0.60467855958032546</c:v>
                </c:pt>
                <c:pt idx="702">
                  <c:v>0</c:v>
                </c:pt>
                <c:pt idx="703">
                  <c:v>-0.3205774626897544</c:v>
                </c:pt>
                <c:pt idx="704">
                  <c:v>-0.2241506269008553</c:v>
                </c:pt>
                <c:pt idx="705">
                  <c:v>0.37511515391863215</c:v>
                </c:pt>
                <c:pt idx="706">
                  <c:v>0</c:v>
                </c:pt>
                <c:pt idx="707">
                  <c:v>0.92102736778855121</c:v>
                </c:pt>
                <c:pt idx="708">
                  <c:v>-0.41493849775646363</c:v>
                </c:pt>
                <c:pt idx="709">
                  <c:v>0</c:v>
                </c:pt>
                <c:pt idx="710">
                  <c:v>-0.14718044653386375</c:v>
                </c:pt>
                <c:pt idx="711">
                  <c:v>6.0207207074620683E-3</c:v>
                </c:pt>
                <c:pt idx="712">
                  <c:v>-0.13473949278400132</c:v>
                </c:pt>
                <c:pt idx="713">
                  <c:v>1.6885384907372236E-2</c:v>
                </c:pt>
                <c:pt idx="714">
                  <c:v>0.31234920132727173</c:v>
                </c:pt>
                <c:pt idx="715">
                  <c:v>-0.20836272320421423</c:v>
                </c:pt>
                <c:pt idx="716">
                  <c:v>0.31668948665140828</c:v>
                </c:pt>
                <c:pt idx="717">
                  <c:v>0.1985956874847723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-0.65658845311570135</c:v>
                </c:pt>
                <c:pt idx="723">
                  <c:v>-0.42732022631663158</c:v>
                </c:pt>
                <c:pt idx="724">
                  <c:v>-0.62011686789326737</c:v>
                </c:pt>
                <c:pt idx="725">
                  <c:v>-0.34785202636533352</c:v>
                </c:pt>
                <c:pt idx="726">
                  <c:v>0</c:v>
                </c:pt>
                <c:pt idx="727">
                  <c:v>-0.15958318561112983</c:v>
                </c:pt>
                <c:pt idx="728">
                  <c:v>0.50356000673656109</c:v>
                </c:pt>
                <c:pt idx="729">
                  <c:v>-0.63115932096298244</c:v>
                </c:pt>
                <c:pt idx="730">
                  <c:v>2.4255316084753842E-2</c:v>
                </c:pt>
                <c:pt idx="731">
                  <c:v>0.52600709537779311</c:v>
                </c:pt>
                <c:pt idx="732">
                  <c:v>0</c:v>
                </c:pt>
                <c:pt idx="733">
                  <c:v>-0.19086869200091705</c:v>
                </c:pt>
                <c:pt idx="734">
                  <c:v>2.9325963023946855E-2</c:v>
                </c:pt>
                <c:pt idx="735">
                  <c:v>0.60182379531791286</c:v>
                </c:pt>
                <c:pt idx="736">
                  <c:v>0</c:v>
                </c:pt>
                <c:pt idx="737">
                  <c:v>0</c:v>
                </c:pt>
                <c:pt idx="738">
                  <c:v>6.1306181880265376E-2</c:v>
                </c:pt>
                <c:pt idx="739">
                  <c:v>0.74179637451591152</c:v>
                </c:pt>
                <c:pt idx="740">
                  <c:v>-0.39750526254062168</c:v>
                </c:pt>
                <c:pt idx="741">
                  <c:v>-0.27922428984751346</c:v>
                </c:pt>
                <c:pt idx="742">
                  <c:v>0.17663433270227968</c:v>
                </c:pt>
                <c:pt idx="743">
                  <c:v>1.958650666426931E-2</c:v>
                </c:pt>
                <c:pt idx="744">
                  <c:v>0.62028472339566743</c:v>
                </c:pt>
                <c:pt idx="745">
                  <c:v>9.7212055464423575E-2</c:v>
                </c:pt>
                <c:pt idx="746">
                  <c:v>0.69071597535945273</c:v>
                </c:pt>
                <c:pt idx="747">
                  <c:v>-0.93886662968355639</c:v>
                </c:pt>
                <c:pt idx="748">
                  <c:v>4.5095347217001036E-2</c:v>
                </c:pt>
                <c:pt idx="749">
                  <c:v>0</c:v>
                </c:pt>
                <c:pt idx="750">
                  <c:v>-0.66400696572303897</c:v>
                </c:pt>
                <c:pt idx="751">
                  <c:v>0.50741829147408191</c:v>
                </c:pt>
                <c:pt idx="752">
                  <c:v>-0.10633973580443468</c:v>
                </c:pt>
                <c:pt idx="753">
                  <c:v>0.44660958719695198</c:v>
                </c:pt>
                <c:pt idx="754">
                  <c:v>-0.14254951005241634</c:v>
                </c:pt>
                <c:pt idx="755">
                  <c:v>-0.68022697383371344</c:v>
                </c:pt>
                <c:pt idx="756">
                  <c:v>0</c:v>
                </c:pt>
                <c:pt idx="757">
                  <c:v>0.17696155600565278</c:v>
                </c:pt>
                <c:pt idx="758">
                  <c:v>0.7318164097211719</c:v>
                </c:pt>
                <c:pt idx="759">
                  <c:v>0.34534190323396774</c:v>
                </c:pt>
                <c:pt idx="760">
                  <c:v>0.49660540465331016</c:v>
                </c:pt>
                <c:pt idx="761">
                  <c:v>0</c:v>
                </c:pt>
                <c:pt idx="762">
                  <c:v>0.61979677004219136</c:v>
                </c:pt>
                <c:pt idx="763">
                  <c:v>0</c:v>
                </c:pt>
                <c:pt idx="764">
                  <c:v>0</c:v>
                </c:pt>
                <c:pt idx="765">
                  <c:v>0.32004215939845171</c:v>
                </c:pt>
                <c:pt idx="766">
                  <c:v>0.79478252502901348</c:v>
                </c:pt>
                <c:pt idx="767">
                  <c:v>0.20304658816889276</c:v>
                </c:pt>
                <c:pt idx="768">
                  <c:v>-0.2406538947667769</c:v>
                </c:pt>
                <c:pt idx="769">
                  <c:v>6.5670148013705631E-2</c:v>
                </c:pt>
                <c:pt idx="770">
                  <c:v>-0.30000773736104858</c:v>
                </c:pt>
                <c:pt idx="771">
                  <c:v>0.35208871224595417</c:v>
                </c:pt>
                <c:pt idx="772">
                  <c:v>-0.75741312006765393</c:v>
                </c:pt>
                <c:pt idx="773">
                  <c:v>-2.3869459666302717E-2</c:v>
                </c:pt>
                <c:pt idx="774">
                  <c:v>0</c:v>
                </c:pt>
                <c:pt idx="775">
                  <c:v>0</c:v>
                </c:pt>
                <c:pt idx="776">
                  <c:v>-6.0388255142228342E-2</c:v>
                </c:pt>
                <c:pt idx="777">
                  <c:v>0.17969086878050966</c:v>
                </c:pt>
                <c:pt idx="778">
                  <c:v>0.63776971581086594</c:v>
                </c:pt>
                <c:pt idx="779">
                  <c:v>0.88079878507932707</c:v>
                </c:pt>
                <c:pt idx="780">
                  <c:v>0</c:v>
                </c:pt>
                <c:pt idx="781">
                  <c:v>0.37391003957201119</c:v>
                </c:pt>
                <c:pt idx="782">
                  <c:v>0</c:v>
                </c:pt>
                <c:pt idx="783">
                  <c:v>-0.36912007999504781</c:v>
                </c:pt>
                <c:pt idx="784">
                  <c:v>0</c:v>
                </c:pt>
                <c:pt idx="785">
                  <c:v>-0.12340751507512304</c:v>
                </c:pt>
                <c:pt idx="786">
                  <c:v>0.90927974230882125</c:v>
                </c:pt>
                <c:pt idx="787">
                  <c:v>0.66667150516662099</c:v>
                </c:pt>
                <c:pt idx="788">
                  <c:v>8.4437239837200639E-2</c:v>
                </c:pt>
                <c:pt idx="789">
                  <c:v>-0.83619936759501612</c:v>
                </c:pt>
                <c:pt idx="790">
                  <c:v>-0.59279932251120626</c:v>
                </c:pt>
                <c:pt idx="791">
                  <c:v>0</c:v>
                </c:pt>
                <c:pt idx="792">
                  <c:v>0.65073922366006887</c:v>
                </c:pt>
                <c:pt idx="793">
                  <c:v>0</c:v>
                </c:pt>
                <c:pt idx="794">
                  <c:v>-0.28686647688307954</c:v>
                </c:pt>
                <c:pt idx="795">
                  <c:v>0.44526742879823522</c:v>
                </c:pt>
                <c:pt idx="796">
                  <c:v>0.18077377856223076</c:v>
                </c:pt>
                <c:pt idx="797">
                  <c:v>0.21532760536868989</c:v>
                </c:pt>
                <c:pt idx="798">
                  <c:v>0.44470208688120039</c:v>
                </c:pt>
                <c:pt idx="799">
                  <c:v>-0.62060094894171303</c:v>
                </c:pt>
                <c:pt idx="800">
                  <c:v>0.86398458507888098</c:v>
                </c:pt>
                <c:pt idx="801">
                  <c:v>0</c:v>
                </c:pt>
                <c:pt idx="802">
                  <c:v>-0.17401801520311522</c:v>
                </c:pt>
                <c:pt idx="803">
                  <c:v>0.69228039186537393</c:v>
                </c:pt>
                <c:pt idx="804">
                  <c:v>-0.35301715421170199</c:v>
                </c:pt>
                <c:pt idx="805">
                  <c:v>0.59702742244390095</c:v>
                </c:pt>
                <c:pt idx="806">
                  <c:v>0.6415771111198314</c:v>
                </c:pt>
                <c:pt idx="807">
                  <c:v>-0.25799764022794158</c:v>
                </c:pt>
                <c:pt idx="808">
                  <c:v>0.67249434168942246</c:v>
                </c:pt>
                <c:pt idx="809">
                  <c:v>-0.45140578597354164</c:v>
                </c:pt>
                <c:pt idx="810">
                  <c:v>-0.93264279758713942</c:v>
                </c:pt>
                <c:pt idx="811">
                  <c:v>0.30703175214870071</c:v>
                </c:pt>
                <c:pt idx="812">
                  <c:v>0.15637798473139952</c:v>
                </c:pt>
                <c:pt idx="813">
                  <c:v>0.25418597581945779</c:v>
                </c:pt>
                <c:pt idx="814">
                  <c:v>0</c:v>
                </c:pt>
                <c:pt idx="815">
                  <c:v>1.6704801685163195E-2</c:v>
                </c:pt>
                <c:pt idx="816">
                  <c:v>0.15021133682833887</c:v>
                </c:pt>
                <c:pt idx="817">
                  <c:v>-0.35025732461275405</c:v>
                </c:pt>
                <c:pt idx="818">
                  <c:v>0.27435289109799355</c:v>
                </c:pt>
                <c:pt idx="819">
                  <c:v>-4.7786392524043153E-2</c:v>
                </c:pt>
                <c:pt idx="820">
                  <c:v>0.14762231093361833</c:v>
                </c:pt>
                <c:pt idx="821">
                  <c:v>0.20687197740627128</c:v>
                </c:pt>
                <c:pt idx="822">
                  <c:v>-0.28802366959130454</c:v>
                </c:pt>
                <c:pt idx="823">
                  <c:v>-0.43188590419504824</c:v>
                </c:pt>
                <c:pt idx="824">
                  <c:v>0.35240804519486413</c:v>
                </c:pt>
                <c:pt idx="825">
                  <c:v>-0.2065566190777548</c:v>
                </c:pt>
                <c:pt idx="826">
                  <c:v>-8.1640404712578496E-2</c:v>
                </c:pt>
                <c:pt idx="827">
                  <c:v>0</c:v>
                </c:pt>
                <c:pt idx="828">
                  <c:v>-0.61014354118924241</c:v>
                </c:pt>
                <c:pt idx="829">
                  <c:v>0.33016180859814193</c:v>
                </c:pt>
                <c:pt idx="830">
                  <c:v>-0.80093095268332615</c:v>
                </c:pt>
                <c:pt idx="831">
                  <c:v>-0.21351133094509911</c:v>
                </c:pt>
                <c:pt idx="832">
                  <c:v>0.12609643054122888</c:v>
                </c:pt>
                <c:pt idx="833">
                  <c:v>-3.8384777439015361E-2</c:v>
                </c:pt>
                <c:pt idx="834">
                  <c:v>-0.18158317045519601</c:v>
                </c:pt>
                <c:pt idx="835">
                  <c:v>0.42271501702181769</c:v>
                </c:pt>
                <c:pt idx="836">
                  <c:v>-4.143886117942297E-2</c:v>
                </c:pt>
                <c:pt idx="837">
                  <c:v>0</c:v>
                </c:pt>
                <c:pt idx="838">
                  <c:v>-0.47811668098922366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-0.12184142173299506</c:v>
                </c:pt>
                <c:pt idx="843">
                  <c:v>0.50274980005121916</c:v>
                </c:pt>
                <c:pt idx="844">
                  <c:v>0</c:v>
                </c:pt>
                <c:pt idx="845">
                  <c:v>0.84594343815038742</c:v>
                </c:pt>
                <c:pt idx="846">
                  <c:v>0.13969640682401163</c:v>
                </c:pt>
                <c:pt idx="847">
                  <c:v>-0.44439319895761287</c:v>
                </c:pt>
                <c:pt idx="848">
                  <c:v>0</c:v>
                </c:pt>
                <c:pt idx="849">
                  <c:v>0.25041979260253644</c:v>
                </c:pt>
                <c:pt idx="850">
                  <c:v>-0.8039714985611941</c:v>
                </c:pt>
                <c:pt idx="851">
                  <c:v>0.23890371922109521</c:v>
                </c:pt>
                <c:pt idx="852">
                  <c:v>-0.55021814727632989</c:v>
                </c:pt>
                <c:pt idx="853">
                  <c:v>-0.16731666988049487</c:v>
                </c:pt>
                <c:pt idx="854">
                  <c:v>0.25437520627692312</c:v>
                </c:pt>
                <c:pt idx="855">
                  <c:v>0.29198821555172061</c:v>
                </c:pt>
                <c:pt idx="856">
                  <c:v>-0.59071219821376775</c:v>
                </c:pt>
                <c:pt idx="857">
                  <c:v>-9.0941983607384591E-2</c:v>
                </c:pt>
                <c:pt idx="858">
                  <c:v>-0.5435994997703939</c:v>
                </c:pt>
                <c:pt idx="859">
                  <c:v>0.18184673309878208</c:v>
                </c:pt>
                <c:pt idx="860">
                  <c:v>-8.0135923882668658E-2</c:v>
                </c:pt>
                <c:pt idx="861">
                  <c:v>0.75376678953412801</c:v>
                </c:pt>
                <c:pt idx="862">
                  <c:v>0.15859567678128283</c:v>
                </c:pt>
                <c:pt idx="863">
                  <c:v>-0.60850897035681761</c:v>
                </c:pt>
                <c:pt idx="864">
                  <c:v>0.16632899895082853</c:v>
                </c:pt>
                <c:pt idx="865">
                  <c:v>-0.19257011986654238</c:v>
                </c:pt>
                <c:pt idx="866">
                  <c:v>0.29714506708297206</c:v>
                </c:pt>
                <c:pt idx="867">
                  <c:v>-0.73000438402280809</c:v>
                </c:pt>
                <c:pt idx="868">
                  <c:v>0</c:v>
                </c:pt>
                <c:pt idx="869">
                  <c:v>0.88803688827868932</c:v>
                </c:pt>
                <c:pt idx="870">
                  <c:v>-6.5783935334989163E-2</c:v>
                </c:pt>
                <c:pt idx="871">
                  <c:v>0</c:v>
                </c:pt>
                <c:pt idx="872">
                  <c:v>-0.70756103837181672</c:v>
                </c:pt>
                <c:pt idx="873">
                  <c:v>0</c:v>
                </c:pt>
                <c:pt idx="874">
                  <c:v>-0.563127735868028</c:v>
                </c:pt>
                <c:pt idx="875">
                  <c:v>0.17135761188835641</c:v>
                </c:pt>
                <c:pt idx="876">
                  <c:v>-0.21233744474740179</c:v>
                </c:pt>
                <c:pt idx="877">
                  <c:v>0.49848341178867894</c:v>
                </c:pt>
                <c:pt idx="878">
                  <c:v>-0.55107094982994109</c:v>
                </c:pt>
                <c:pt idx="879">
                  <c:v>0</c:v>
                </c:pt>
                <c:pt idx="880">
                  <c:v>0.23840522103914896</c:v>
                </c:pt>
                <c:pt idx="881">
                  <c:v>0</c:v>
                </c:pt>
                <c:pt idx="882">
                  <c:v>0.39082582795100462</c:v>
                </c:pt>
                <c:pt idx="883">
                  <c:v>0</c:v>
                </c:pt>
                <c:pt idx="884">
                  <c:v>0.81796924749631406</c:v>
                </c:pt>
                <c:pt idx="885">
                  <c:v>0.72743655161303833</c:v>
                </c:pt>
                <c:pt idx="886">
                  <c:v>0.18147356496194855</c:v>
                </c:pt>
                <c:pt idx="887">
                  <c:v>0.2115721367390484</c:v>
                </c:pt>
                <c:pt idx="888">
                  <c:v>-0.20055642789642358</c:v>
                </c:pt>
                <c:pt idx="889">
                  <c:v>-0.23328214789775781</c:v>
                </c:pt>
                <c:pt idx="890">
                  <c:v>0.7742272326949029</c:v>
                </c:pt>
                <c:pt idx="891">
                  <c:v>0.56096084195661322</c:v>
                </c:pt>
                <c:pt idx="892">
                  <c:v>0</c:v>
                </c:pt>
                <c:pt idx="893">
                  <c:v>-2.6089116891985675E-2</c:v>
                </c:pt>
                <c:pt idx="894">
                  <c:v>0</c:v>
                </c:pt>
                <c:pt idx="895">
                  <c:v>-0.38654898490363077</c:v>
                </c:pt>
                <c:pt idx="896">
                  <c:v>0.84201717639092144</c:v>
                </c:pt>
                <c:pt idx="897">
                  <c:v>0.61306961978828656</c:v>
                </c:pt>
                <c:pt idx="898">
                  <c:v>0.3991773515985535</c:v>
                </c:pt>
                <c:pt idx="899">
                  <c:v>-0.62921662717631399</c:v>
                </c:pt>
                <c:pt idx="900">
                  <c:v>0.91537771203789742</c:v>
                </c:pt>
                <c:pt idx="901">
                  <c:v>0.41818759111022286</c:v>
                </c:pt>
                <c:pt idx="902">
                  <c:v>-0.54703426254606269</c:v>
                </c:pt>
                <c:pt idx="903">
                  <c:v>-0.21367833104664857</c:v>
                </c:pt>
                <c:pt idx="904">
                  <c:v>0.40814452193205408</c:v>
                </c:pt>
                <c:pt idx="905">
                  <c:v>6.8531830578274944E-2</c:v>
                </c:pt>
                <c:pt idx="906">
                  <c:v>0</c:v>
                </c:pt>
                <c:pt idx="907">
                  <c:v>-0.59370815939159227</c:v>
                </c:pt>
                <c:pt idx="908">
                  <c:v>-0.27831519888299261</c:v>
                </c:pt>
                <c:pt idx="909">
                  <c:v>0.43258683916117158</c:v>
                </c:pt>
                <c:pt idx="910">
                  <c:v>0</c:v>
                </c:pt>
                <c:pt idx="911">
                  <c:v>-0.15887431850699185</c:v>
                </c:pt>
                <c:pt idx="912">
                  <c:v>-0.65956179800843495</c:v>
                </c:pt>
                <c:pt idx="913">
                  <c:v>0.80445027316700179</c:v>
                </c:pt>
                <c:pt idx="914">
                  <c:v>-0.15992203113558401</c:v>
                </c:pt>
                <c:pt idx="915">
                  <c:v>0.34479216813160662</c:v>
                </c:pt>
                <c:pt idx="916">
                  <c:v>-0.72903447937566423</c:v>
                </c:pt>
                <c:pt idx="917">
                  <c:v>0</c:v>
                </c:pt>
                <c:pt idx="918">
                  <c:v>0.71851526827209522</c:v>
                </c:pt>
                <c:pt idx="919">
                  <c:v>3.9402300822358738E-2</c:v>
                </c:pt>
                <c:pt idx="920">
                  <c:v>5.0192323556357055E-2</c:v>
                </c:pt>
                <c:pt idx="921">
                  <c:v>0.73043384957408897</c:v>
                </c:pt>
                <c:pt idx="922">
                  <c:v>0</c:v>
                </c:pt>
                <c:pt idx="923">
                  <c:v>0.41433262841156093</c:v>
                </c:pt>
                <c:pt idx="924">
                  <c:v>-0.73490858294241024</c:v>
                </c:pt>
                <c:pt idx="925">
                  <c:v>-0.49053392095818249</c:v>
                </c:pt>
                <c:pt idx="926">
                  <c:v>-0.38779727462093838</c:v>
                </c:pt>
                <c:pt idx="927">
                  <c:v>-0.65973611242114583</c:v>
                </c:pt>
                <c:pt idx="928">
                  <c:v>2.4177844278983285E-2</c:v>
                </c:pt>
                <c:pt idx="929">
                  <c:v>0.42035662055938539</c:v>
                </c:pt>
                <c:pt idx="930">
                  <c:v>-0.71993640157094263</c:v>
                </c:pt>
                <c:pt idx="931">
                  <c:v>-0.18296915198356856</c:v>
                </c:pt>
                <c:pt idx="932">
                  <c:v>-0.70849436552137357</c:v>
                </c:pt>
                <c:pt idx="933">
                  <c:v>0.47880288731916831</c:v>
                </c:pt>
                <c:pt idx="934">
                  <c:v>0.18894746962378783</c:v>
                </c:pt>
                <c:pt idx="935">
                  <c:v>0</c:v>
                </c:pt>
                <c:pt idx="936">
                  <c:v>0.37960373862748464</c:v>
                </c:pt>
                <c:pt idx="937">
                  <c:v>0.58209815096911122</c:v>
                </c:pt>
                <c:pt idx="938">
                  <c:v>-0.36347560938778867</c:v>
                </c:pt>
                <c:pt idx="939">
                  <c:v>-0.21262103379611474</c:v>
                </c:pt>
                <c:pt idx="940">
                  <c:v>-0.47398611816880232</c:v>
                </c:pt>
                <c:pt idx="941">
                  <c:v>0.53879690382212475</c:v>
                </c:pt>
                <c:pt idx="942">
                  <c:v>0</c:v>
                </c:pt>
                <c:pt idx="943">
                  <c:v>0.39172656474460932</c:v>
                </c:pt>
                <c:pt idx="944">
                  <c:v>0.66158532530585901</c:v>
                </c:pt>
                <c:pt idx="945">
                  <c:v>-0.80280930862128508</c:v>
                </c:pt>
                <c:pt idx="946">
                  <c:v>-1.6651795305492323E-2</c:v>
                </c:pt>
                <c:pt idx="947">
                  <c:v>7.9702147946410395E-2</c:v>
                </c:pt>
                <c:pt idx="948">
                  <c:v>0.63632334150568104</c:v>
                </c:pt>
                <c:pt idx="949">
                  <c:v>0</c:v>
                </c:pt>
                <c:pt idx="950">
                  <c:v>0.3908950586115405</c:v>
                </c:pt>
                <c:pt idx="951">
                  <c:v>-0.28198563160267276</c:v>
                </c:pt>
                <c:pt idx="952">
                  <c:v>-0.85785712619629662</c:v>
                </c:pt>
                <c:pt idx="953">
                  <c:v>-0.50646848425501534</c:v>
                </c:pt>
                <c:pt idx="954">
                  <c:v>-0.64236651087690988</c:v>
                </c:pt>
                <c:pt idx="955">
                  <c:v>0</c:v>
                </c:pt>
                <c:pt idx="956">
                  <c:v>0</c:v>
                </c:pt>
                <c:pt idx="957">
                  <c:v>-4.7550230326081522E-2</c:v>
                </c:pt>
                <c:pt idx="958">
                  <c:v>3.1814484916283359E-2</c:v>
                </c:pt>
                <c:pt idx="959">
                  <c:v>-0.14328870805391336</c:v>
                </c:pt>
                <c:pt idx="960">
                  <c:v>0.80518986045781604</c:v>
                </c:pt>
                <c:pt idx="961">
                  <c:v>-7.7506169067500075E-2</c:v>
                </c:pt>
                <c:pt idx="962">
                  <c:v>0</c:v>
                </c:pt>
                <c:pt idx="963">
                  <c:v>-0.86372696167093932</c:v>
                </c:pt>
                <c:pt idx="964">
                  <c:v>0.54213000717983673</c:v>
                </c:pt>
                <c:pt idx="965">
                  <c:v>0</c:v>
                </c:pt>
                <c:pt idx="966">
                  <c:v>0.89426860907164119</c:v>
                </c:pt>
                <c:pt idx="967">
                  <c:v>0</c:v>
                </c:pt>
                <c:pt idx="968">
                  <c:v>0</c:v>
                </c:pt>
                <c:pt idx="969">
                  <c:v>-0.3003546134676931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0.72512656038789647</c:v>
                </c:pt>
                <c:pt idx="976">
                  <c:v>-0.71959229224853494</c:v>
                </c:pt>
                <c:pt idx="977">
                  <c:v>-0.81961243453483523</c:v>
                </c:pt>
                <c:pt idx="978">
                  <c:v>0.26894887493039366</c:v>
                </c:pt>
                <c:pt idx="979">
                  <c:v>0.28137559435298898</c:v>
                </c:pt>
                <c:pt idx="980">
                  <c:v>-0.16529421038255765</c:v>
                </c:pt>
                <c:pt idx="981">
                  <c:v>-0.87759183240520966</c:v>
                </c:pt>
                <c:pt idx="982">
                  <c:v>-0.86647841371459888</c:v>
                </c:pt>
                <c:pt idx="983">
                  <c:v>-0.8294841520085634</c:v>
                </c:pt>
                <c:pt idx="984">
                  <c:v>-0.19490140901190656</c:v>
                </c:pt>
                <c:pt idx="985">
                  <c:v>9.2576567281936306E-2</c:v>
                </c:pt>
                <c:pt idx="986">
                  <c:v>0.78133507965124949</c:v>
                </c:pt>
                <c:pt idx="987">
                  <c:v>0.26677341562737911</c:v>
                </c:pt>
                <c:pt idx="988">
                  <c:v>0</c:v>
                </c:pt>
                <c:pt idx="989">
                  <c:v>0</c:v>
                </c:pt>
                <c:pt idx="990">
                  <c:v>-0.51864102606286311</c:v>
                </c:pt>
                <c:pt idx="991">
                  <c:v>-0.26597427218964254</c:v>
                </c:pt>
                <c:pt idx="992">
                  <c:v>-0.70596019895386286</c:v>
                </c:pt>
                <c:pt idx="993">
                  <c:v>0.28063062853378451</c:v>
                </c:pt>
                <c:pt idx="994">
                  <c:v>0.89698982524008342</c:v>
                </c:pt>
                <c:pt idx="995">
                  <c:v>0</c:v>
                </c:pt>
                <c:pt idx="996">
                  <c:v>0.14958652944821549</c:v>
                </c:pt>
                <c:pt idx="997">
                  <c:v>0.4800139862171322</c:v>
                </c:pt>
                <c:pt idx="998">
                  <c:v>0</c:v>
                </c:pt>
                <c:pt idx="999">
                  <c:v>0.69729556508247881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9E-4CCF-85C6-10CE597D43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7781584"/>
        <c:axId val="2127776784"/>
      </c:scatterChart>
      <c:valAx>
        <c:axId val="2127781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76784"/>
        <c:crosses val="autoZero"/>
        <c:crossBetween val="midCat"/>
      </c:valAx>
      <c:valAx>
        <c:axId val="212777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81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13140</xdr:colOff>
      <xdr:row>12</xdr:row>
      <xdr:rowOff>144517</xdr:rowOff>
    </xdr:from>
    <xdr:to>
      <xdr:col>13</xdr:col>
      <xdr:colOff>145977</xdr:colOff>
      <xdr:row>24</xdr:row>
      <xdr:rowOff>98534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4D0DD48-C8D0-4E17-9AEA-97823FA13F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203636</xdr:colOff>
      <xdr:row>12</xdr:row>
      <xdr:rowOff>144517</xdr:rowOff>
    </xdr:from>
    <xdr:to>
      <xdr:col>16</xdr:col>
      <xdr:colOff>929411</xdr:colOff>
      <xdr:row>24</xdr:row>
      <xdr:rowOff>105103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CD6DC4-7D96-435B-9231-6A9AA30D6C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2548FB-77A1-4442-9507-0E41C8E2633A}" name="ArrivalDistribution" displayName="ArrivalDistribution" ref="B12:F20" headerRowDxfId="21">
  <autoFilter ref="B12:F20" xr:uid="{AD2548FB-77A1-4442-9507-0E41C8E2633A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FBBD3DD-AD51-4B76-9573-6A3653330401}" name="Inter-Arrival Time" totalsRowLabel="Total"/>
    <tableColumn id="2" xr3:uid="{E1DD57E6-B443-4AD3-A37E-2FB13DBAFC5A}" name="Probability Of Event" dataDxfId="20">
      <calculatedColumnFormula>1/$B$20</calculatedColumnFormula>
    </tableColumn>
    <tableColumn id="3" xr3:uid="{ED48B9B9-BC4A-446B-94F7-0E71B3034FD0}" name="Cumulative Probability" dataDxfId="19">
      <calculatedColumnFormula>SUM($C$13:C13)</calculatedColumnFormula>
    </tableColumn>
    <tableColumn id="4" xr3:uid="{542910B0-0332-4360-924C-804BEB3B1E32}" name="Random Digit FROM"/>
    <tableColumn id="8" xr3:uid="{4E2D4833-1FF7-403E-9F19-CD189054789A}" name="Random Digit  TO" totalsRowFunction="sum" dataDxfId="18"/>
  </tableColumns>
  <tableStyleInfo name="TableStyleDark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768A08-7215-4E88-9293-EE76DAAE9A03}" name="ServiceDistribution3" displayName="ServiceDistribution3" ref="H12:L18" headerRowDxfId="17">
  <autoFilter ref="H12:L18" xr:uid="{C4768A08-7215-4E88-9293-EE76DAAE9A03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A5489C78-FBC2-4720-859A-12CFD7F10502}" name="Service Time" totalsRowLabel="Total"/>
    <tableColumn id="2" xr3:uid="{5818BB43-7B90-4BB4-A0B6-FD46856EF4E7}" name="Probability" dataDxfId="16">
      <calculatedColumnFormula>1/$B$20</calculatedColumnFormula>
    </tableColumn>
    <tableColumn id="3" xr3:uid="{F4472E50-FB90-4E2D-9F41-459D2C479C88}" name="Cumulative Probability" dataDxfId="15">
      <calculatedColumnFormula>SUM($I$13:I13)</calculatedColumnFormula>
    </tableColumn>
    <tableColumn id="4" xr3:uid="{EF65E276-129D-4E22-B8B9-2709AFEE8FDB}" name="Random Digit FROM"/>
    <tableColumn id="8" xr3:uid="{4C11E7DC-A66F-4456-AB41-CE8B14D516F5}" name="Random Digit  TO" totalsRowFunction="sum" dataDxfId="14">
      <calculatedColumnFormula>ServiceDistribution3[[#This Row],[Cumulative Probability]]*100</calculatedColumnFormula>
    </tableColumn>
  </tableColumns>
  <tableStyleInfo name="TableStyleDark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EBEF57-047E-4824-93E1-0BD892F51023}" name="ArrivalAssignment" displayName="ArrivalAssignment" ref="C24:E30" headerRowDxfId="13">
  <autoFilter ref="C24:E30" xr:uid="{C6EBEF57-047E-4824-93E1-0BD892F51023}">
    <filterColumn colId="0" hiddenButton="1"/>
    <filterColumn colId="1" hiddenButton="1"/>
    <filterColumn colId="2" hiddenButton="1"/>
  </autoFilter>
  <tableColumns count="3">
    <tableColumn id="1" xr3:uid="{AEC1363A-2249-4CD6-8CF3-111552075119}" name="Customer" totalsRowLabel="Total"/>
    <tableColumn id="2" xr3:uid="{CF0977D3-C63F-4EB8-84AC-0A2511298C5C}" name="RandomDigit" dataDxfId="12">
      <calculatedColumnFormula>RANDBETWEEN($E$13,$F$20)</calculatedColumnFormula>
    </tableColumn>
    <tableColumn id="3" xr3:uid="{EEC12E9E-BFA9-4CDC-8BAF-5F94B2482D9E}" name="Selected Arrival Time" dataDxfId="11">
      <calculatedColumnFormula>INDEX(ArrivalDistribution[Inter-Arrival Time], MATCH(ArrivalAssignment[[#This Row],[RandomDigit]], ArrivalDistribution[Random Digit FROM], 1))</calculatedColumnFormula>
    </tableColumn>
  </tableColumns>
  <tableStyleInfo name="TableStyleDark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4B0AE06-C807-468E-879C-2DDA415A8B12}" name="ServiceTimeAssignment" displayName="ServiceTimeAssignment" ref="I24:K30" headerRowDxfId="10">
  <autoFilter ref="I24:K30" xr:uid="{64B0AE06-C807-468E-879C-2DDA415A8B12}">
    <filterColumn colId="0" hiddenButton="1"/>
    <filterColumn colId="1" hiddenButton="1"/>
    <filterColumn colId="2" hiddenButton="1"/>
  </autoFilter>
  <tableColumns count="3">
    <tableColumn id="1" xr3:uid="{CDCAE117-68AF-4D40-81B0-3B0419B46AA8}" name="Customer" totalsRowLabel="Total"/>
    <tableColumn id="2" xr3:uid="{1C15C076-90A7-4EDE-BADD-E035686855D5}" name="RandomDigit" dataDxfId="9">
      <calculatedColumnFormula>RANDBETWEEN($K$13,$L$18)</calculatedColumnFormula>
    </tableColumn>
    <tableColumn id="3" xr3:uid="{FCA0A939-E5DF-4BE0-8078-DD4D8D4B614F}" name="Selected Service Time" dataDxfId="8">
      <calculatedColumnFormula>INDEX(ServiceDistribution3[Service Time], MATCH(ServiceTimeAssignment[[#This Row],[RandomDigit]], ServiceDistribution3[Random Digit FROM], 1))</calculatedColumnFormula>
    </tableColumn>
  </tableColumns>
  <tableStyleInfo name="TableStyleDark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3B7660-91A8-45AF-A6CB-F379242ACD4B}" name="SimulationTable" displayName="SimulationTable" ref="B35:J42" totalsRowCount="1" headerRowDxfId="7">
  <autoFilter ref="B35:J41" xr:uid="{DD3B7660-91A8-45AF-A6CB-F379242ACD4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DFED37-11BA-483F-9F3A-E828E7208DC1}" name="Customer" totalsRowLabel="Total"/>
    <tableColumn id="2" xr3:uid="{B8DC93A9-236B-4F36-B5A4-97D9D2DF0B9E}" name="IAT" totalsRowFunction="custom" dataDxfId="6">
      <calculatedColumnFormula>INDEX(ArrivalAssignment[Selected Arrival Time], MATCH(SimulationTable[[#This Row],[Customer]], ArrivalAssignment[Customer],0))</calculatedColumnFormula>
      <totalsRowFormula>SUBTOTAL(9, SimulationTable[IAT])</totalsRowFormula>
    </tableColumn>
    <tableColumn id="3" xr3:uid="{4AAA0B42-470F-48AF-B54E-64A3295BA350}" name="Arrival  Time" totalsRowFunction="custom" dataDxfId="5">
      <calculatedColumnFormula>SUM($C$13:C36)</calculatedColumnFormula>
      <totalsRowFormula>SUBTOTAL(9, SimulationTable[Arrival  Time])</totalsRowFormula>
    </tableColumn>
    <tableColumn id="4" xr3:uid="{9F9624DB-17BB-4B95-AF0A-5526F46B7C16}" name="ServiceTime" totalsRowFunction="custom">
      <totalsRowFormula>SUBTOTAL(9, SimulationTable[ServiceTime])</totalsRowFormula>
    </tableColumn>
    <tableColumn id="9" xr3:uid="{4E957C1F-4E22-4BF6-9C8E-92E6070E1F8A}" name="Service Time Start" dataDxfId="4">
      <calculatedColumnFormula>(SimulationTable[[#This Row],[Arrival  Time]]-H35)</calculatedColumnFormula>
    </tableColumn>
    <tableColumn id="8" xr3:uid="{4365D6CE-65EF-4949-A751-18F5CDA7B83D}" name="Waiting Time" totalsRowFunction="custom" dataDxfId="3">
      <calculatedColumnFormula>(SimulationTable[[#This Row],[Service Time Start]]-SimulationTable[[#This Row],[Arrival  Time]])</calculatedColumnFormula>
      <totalsRowFormula>SUBTOTAL(9, SimulationTable[Waiting Time])</totalsRowFormula>
    </tableColumn>
    <tableColumn id="10" xr3:uid="{373D56D2-7715-4680-BECF-AF007CE4E0FE}" name="Service Time End" dataDxfId="2">
      <calculatedColumnFormula>(SimulationTable[[#This Row],[Service Time Start]]+SimulationTable[[#This Row],[ServiceTime]])</calculatedColumnFormula>
    </tableColumn>
    <tableColumn id="11" xr3:uid="{AF0344EE-D6EC-4162-AE66-93F0440DC4BB}" name="Time In System" totalsRowFunction="custom" dataDxfId="1">
      <calculatedColumnFormula>(SimulationTable[[#This Row],[ServiceTime]]+SimulationTable[[#This Row],[Waiting Time]])</calculatedColumnFormula>
      <totalsRowFormula>SUBTOTAL(9, SimulationTable[Time In System])</totalsRowFormula>
    </tableColumn>
    <tableColumn id="12" xr3:uid="{FF7F4A8D-FAB6-4715-A5F7-8D03F6824D09}" name="Server Idle Time" totalsRowFunction="custom" dataDxfId="0">
      <calculatedColumnFormula>(SimulationTable[[#This Row],[Service Time Start]]-H35)</calculatedColumnFormula>
      <totalsRowFormula>SUBTOTAL(9, SimulationTable[Server Idle Time])</totalsRowFormula>
    </tableColumn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workbookViewId="0">
      <selection activeCell="L43" sqref="L43"/>
    </sheetView>
  </sheetViews>
  <sheetFormatPr defaultRowHeight="15" x14ac:dyDescent="0.25"/>
  <sheetData>
    <row r="1" spans="1:7" ht="15" customHeight="1" x14ac:dyDescent="0.25">
      <c r="A1" s="39" t="s">
        <v>0</v>
      </c>
      <c r="B1" s="39"/>
      <c r="C1" s="39"/>
      <c r="D1" s="39"/>
      <c r="E1" s="39"/>
      <c r="F1" s="39"/>
      <c r="G1" s="39"/>
    </row>
    <row r="2" spans="1:7" x14ac:dyDescent="0.25">
      <c r="A2" s="39"/>
      <c r="B2" s="39"/>
      <c r="C2" s="39"/>
      <c r="D2" s="39"/>
      <c r="E2" s="39"/>
      <c r="F2" s="39"/>
      <c r="G2" s="39"/>
    </row>
    <row r="3" spans="1:7" x14ac:dyDescent="0.25">
      <c r="A3" s="46"/>
      <c r="B3" s="47"/>
      <c r="C3" s="40" t="s">
        <v>1</v>
      </c>
      <c r="D3" s="41"/>
      <c r="E3" s="42"/>
    </row>
    <row r="4" spans="1:7" x14ac:dyDescent="0.25">
      <c r="A4" s="48"/>
      <c r="B4" s="49"/>
      <c r="C4" s="9" t="s">
        <v>3</v>
      </c>
      <c r="D4" s="9" t="s">
        <v>4</v>
      </c>
      <c r="E4" s="9" t="s">
        <v>5</v>
      </c>
    </row>
    <row r="5" spans="1:7" x14ac:dyDescent="0.25">
      <c r="A5" s="43" t="s">
        <v>2</v>
      </c>
      <c r="B5" s="9">
        <v>1</v>
      </c>
      <c r="C5" s="1">
        <f ca="1">RANDBETWEEN(1,6)</f>
        <v>6</v>
      </c>
      <c r="D5" s="2">
        <f t="shared" ref="D5:E9" ca="1" si="0">RANDBETWEEN(1,6)</f>
        <v>5</v>
      </c>
      <c r="E5" s="3">
        <f t="shared" ca="1" si="0"/>
        <v>6</v>
      </c>
    </row>
    <row r="6" spans="1:7" x14ac:dyDescent="0.25">
      <c r="A6" s="44"/>
      <c r="B6" s="9">
        <v>2</v>
      </c>
      <c r="C6" s="4">
        <f t="shared" ref="C6:C9" ca="1" si="1">RANDBETWEEN(1,6)</f>
        <v>5</v>
      </c>
      <c r="D6">
        <f t="shared" ca="1" si="0"/>
        <v>2</v>
      </c>
      <c r="E6" s="5">
        <f t="shared" ca="1" si="0"/>
        <v>2</v>
      </c>
    </row>
    <row r="7" spans="1:7" x14ac:dyDescent="0.25">
      <c r="A7" s="44"/>
      <c r="B7" s="9">
        <v>3</v>
      </c>
      <c r="C7" s="4">
        <f t="shared" ca="1" si="1"/>
        <v>1</v>
      </c>
      <c r="D7">
        <f t="shared" ca="1" si="0"/>
        <v>6</v>
      </c>
      <c r="E7" s="5">
        <f t="shared" ca="1" si="0"/>
        <v>4</v>
      </c>
    </row>
    <row r="8" spans="1:7" x14ac:dyDescent="0.25">
      <c r="A8" s="44"/>
      <c r="B8" s="9">
        <v>4</v>
      </c>
      <c r="C8" s="4">
        <f t="shared" ca="1" si="1"/>
        <v>4</v>
      </c>
      <c r="D8">
        <f t="shared" ca="1" si="0"/>
        <v>3</v>
      </c>
      <c r="E8" s="5">
        <f t="shared" ca="1" si="0"/>
        <v>4</v>
      </c>
    </row>
    <row r="9" spans="1:7" x14ac:dyDescent="0.25">
      <c r="A9" s="45"/>
      <c r="B9" s="9">
        <v>5</v>
      </c>
      <c r="C9" s="6">
        <f t="shared" ca="1" si="1"/>
        <v>2</v>
      </c>
      <c r="D9" s="7">
        <f t="shared" ca="1" si="0"/>
        <v>4</v>
      </c>
      <c r="E9" s="8">
        <f t="shared" ca="1" si="0"/>
        <v>2</v>
      </c>
    </row>
  </sheetData>
  <mergeCells count="4">
    <mergeCell ref="A1:G2"/>
    <mergeCell ref="C3:E3"/>
    <mergeCell ref="A5:A9"/>
    <mergeCell ref="A3:B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C9AF7-8512-43D2-AEAF-F21C170E53DF}">
  <dimension ref="A1:L68"/>
  <sheetViews>
    <sheetView topLeftCell="A10" zoomScale="115" zoomScaleNormal="115" workbookViewId="0">
      <selection activeCell="O30" sqref="O30"/>
    </sheetView>
  </sheetViews>
  <sheetFormatPr defaultRowHeight="15" x14ac:dyDescent="0.25"/>
  <cols>
    <col min="1" max="1" width="24.85546875" bestFit="1" customWidth="1"/>
    <col min="2" max="2" width="10.42578125" customWidth="1"/>
    <col min="3" max="3" width="11.140625" bestFit="1" customWidth="1"/>
    <col min="4" max="4" width="14.7109375" bestFit="1" customWidth="1"/>
    <col min="5" max="5" width="13" bestFit="1" customWidth="1"/>
    <col min="6" max="6" width="13.5703125" customWidth="1"/>
    <col min="7" max="7" width="7.85546875" bestFit="1" customWidth="1"/>
    <col min="8" max="8" width="12" bestFit="1" customWidth="1"/>
    <col min="9" max="10" width="13.5703125" bestFit="1" customWidth="1"/>
    <col min="11" max="11" width="12.85546875" bestFit="1" customWidth="1"/>
    <col min="12" max="12" width="13" bestFit="1" customWidth="1"/>
  </cols>
  <sheetData>
    <row r="1" spans="1:12" x14ac:dyDescent="0.25">
      <c r="A1" s="51" t="s">
        <v>6</v>
      </c>
      <c r="B1" s="51"/>
      <c r="C1" s="51"/>
      <c r="D1" s="51"/>
      <c r="E1" s="51"/>
      <c r="F1" s="51"/>
      <c r="G1" s="51"/>
      <c r="H1" s="51"/>
      <c r="I1" s="51"/>
    </row>
    <row r="2" spans="1:12" x14ac:dyDescent="0.25">
      <c r="A2" t="s">
        <v>14</v>
      </c>
    </row>
    <row r="4" spans="1:12" x14ac:dyDescent="0.25">
      <c r="A4" t="s">
        <v>7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</row>
    <row r="5" spans="1:12" x14ac:dyDescent="0.25">
      <c r="A5" t="s">
        <v>8</v>
      </c>
      <c r="B5">
        <v>0.1</v>
      </c>
      <c r="C5">
        <v>0.2</v>
      </c>
      <c r="D5">
        <v>0.3</v>
      </c>
      <c r="E5">
        <v>0.25</v>
      </c>
      <c r="F5">
        <v>0.1</v>
      </c>
      <c r="G5">
        <v>0.05</v>
      </c>
    </row>
    <row r="7" spans="1:12" x14ac:dyDescent="0.25">
      <c r="A7" t="s">
        <v>9</v>
      </c>
      <c r="B7" t="s">
        <v>11</v>
      </c>
      <c r="C7">
        <v>913</v>
      </c>
      <c r="D7">
        <v>727</v>
      </c>
      <c r="E7">
        <v>15</v>
      </c>
      <c r="F7">
        <v>948</v>
      </c>
      <c r="G7">
        <v>309</v>
      </c>
    </row>
    <row r="8" spans="1:12" x14ac:dyDescent="0.25">
      <c r="A8" t="s">
        <v>10</v>
      </c>
      <c r="B8">
        <v>84</v>
      </c>
      <c r="C8">
        <v>10</v>
      </c>
      <c r="D8">
        <v>74</v>
      </c>
      <c r="E8">
        <v>53</v>
      </c>
      <c r="F8">
        <v>17</v>
      </c>
      <c r="G8">
        <v>79</v>
      </c>
    </row>
    <row r="11" spans="1:12" x14ac:dyDescent="0.25">
      <c r="C11" s="52" t="s">
        <v>12</v>
      </c>
      <c r="D11" s="52"/>
      <c r="E11" s="52"/>
      <c r="G11" s="10"/>
      <c r="I11" s="52" t="s">
        <v>21</v>
      </c>
      <c r="J11" s="52"/>
      <c r="K11" s="52"/>
    </row>
    <row r="12" spans="1:12" ht="60" x14ac:dyDescent="0.25">
      <c r="B12" s="11" t="s">
        <v>15</v>
      </c>
      <c r="C12" s="11" t="s">
        <v>16</v>
      </c>
      <c r="D12" s="11" t="s">
        <v>17</v>
      </c>
      <c r="E12" s="11" t="s">
        <v>18</v>
      </c>
      <c r="F12" s="11" t="s">
        <v>19</v>
      </c>
      <c r="H12" s="11" t="s">
        <v>22</v>
      </c>
      <c r="I12" s="11" t="s">
        <v>8</v>
      </c>
      <c r="J12" s="11" t="s">
        <v>17</v>
      </c>
      <c r="K12" s="11" t="s">
        <v>18</v>
      </c>
      <c r="L12" s="11" t="s">
        <v>19</v>
      </c>
    </row>
    <row r="13" spans="1:12" x14ac:dyDescent="0.25">
      <c r="B13">
        <v>1</v>
      </c>
      <c r="C13">
        <f t="shared" ref="C13:C20" si="0">1/$B$20</f>
        <v>0.125</v>
      </c>
      <c r="D13">
        <f>SUM($C$13:C13)</f>
        <v>0.125</v>
      </c>
      <c r="E13" s="12">
        <v>1</v>
      </c>
      <c r="F13">
        <f>ArrivalDistribution[[#This Row],[Cumulative Probability]]*1000</f>
        <v>125</v>
      </c>
      <c r="H13">
        <v>1</v>
      </c>
      <c r="I13">
        <v>0.1</v>
      </c>
      <c r="J13">
        <f>SUM($I$13:I13)</f>
        <v>0.1</v>
      </c>
      <c r="K13" s="12">
        <v>1</v>
      </c>
      <c r="L13">
        <f>ServiceDistribution3[[#This Row],[Cumulative Probability]]*100</f>
        <v>10</v>
      </c>
    </row>
    <row r="14" spans="1:12" x14ac:dyDescent="0.25">
      <c r="B14">
        <v>2</v>
      </c>
      <c r="C14">
        <f t="shared" si="0"/>
        <v>0.125</v>
      </c>
      <c r="D14">
        <f>SUM($C$13:C14)</f>
        <v>0.25</v>
      </c>
      <c r="E14">
        <f>F13+1</f>
        <v>126</v>
      </c>
      <c r="F14">
        <f>ArrivalDistribution[[#This Row],[Cumulative Probability]]*1000</f>
        <v>250</v>
      </c>
      <c r="H14">
        <v>2</v>
      </c>
      <c r="I14">
        <v>0.2</v>
      </c>
      <c r="J14">
        <f>SUM($I$13:I14)</f>
        <v>0.30000000000000004</v>
      </c>
      <c r="K14">
        <f>L13+1</f>
        <v>11</v>
      </c>
      <c r="L14">
        <f>ServiceDistribution3[[#This Row],[Cumulative Probability]]*100</f>
        <v>30.000000000000004</v>
      </c>
    </row>
    <row r="15" spans="1:12" x14ac:dyDescent="0.25">
      <c r="B15">
        <v>3</v>
      </c>
      <c r="C15">
        <f t="shared" si="0"/>
        <v>0.125</v>
      </c>
      <c r="D15">
        <f>SUM($C$13:C15)</f>
        <v>0.375</v>
      </c>
      <c r="E15">
        <f t="shared" ref="E15:E20" si="1">F14+1</f>
        <v>251</v>
      </c>
      <c r="F15">
        <f>ArrivalDistribution[[#This Row],[Cumulative Probability]]*1000</f>
        <v>375</v>
      </c>
      <c r="H15">
        <v>3</v>
      </c>
      <c r="I15">
        <v>0.3</v>
      </c>
      <c r="J15">
        <f>SUM($I$13:I15)</f>
        <v>0.60000000000000009</v>
      </c>
      <c r="K15">
        <f t="shared" ref="K15:K18" si="2">L14+1</f>
        <v>31.000000000000004</v>
      </c>
      <c r="L15">
        <f>ServiceDistribution3[[#This Row],[Cumulative Probability]]*100</f>
        <v>60.000000000000007</v>
      </c>
    </row>
    <row r="16" spans="1:12" x14ac:dyDescent="0.25">
      <c r="B16">
        <v>4</v>
      </c>
      <c r="C16">
        <f t="shared" si="0"/>
        <v>0.125</v>
      </c>
      <c r="D16">
        <f>SUM($C$13:C16)</f>
        <v>0.5</v>
      </c>
      <c r="E16">
        <f t="shared" si="1"/>
        <v>376</v>
      </c>
      <c r="F16">
        <f>ArrivalDistribution[[#This Row],[Cumulative Probability]]*1000</f>
        <v>500</v>
      </c>
      <c r="H16">
        <v>4</v>
      </c>
      <c r="I16">
        <v>0.25</v>
      </c>
      <c r="J16">
        <f>SUM($I$13:I16)</f>
        <v>0.85000000000000009</v>
      </c>
      <c r="K16">
        <f t="shared" si="2"/>
        <v>61.000000000000007</v>
      </c>
      <c r="L16">
        <f>ServiceDistribution3[[#This Row],[Cumulative Probability]]*100</f>
        <v>85.000000000000014</v>
      </c>
    </row>
    <row r="17" spans="2:12" x14ac:dyDescent="0.25">
      <c r="B17">
        <v>5</v>
      </c>
      <c r="C17">
        <f t="shared" si="0"/>
        <v>0.125</v>
      </c>
      <c r="D17">
        <f>SUM($C$13:C17)</f>
        <v>0.625</v>
      </c>
      <c r="E17">
        <f t="shared" si="1"/>
        <v>501</v>
      </c>
      <c r="F17">
        <f>ArrivalDistribution[[#This Row],[Cumulative Probability]]*1000</f>
        <v>625</v>
      </c>
      <c r="H17">
        <v>5</v>
      </c>
      <c r="I17">
        <v>0.1</v>
      </c>
      <c r="J17">
        <f>SUM($I$13:I17)</f>
        <v>0.95000000000000007</v>
      </c>
      <c r="K17">
        <f t="shared" si="2"/>
        <v>86.000000000000014</v>
      </c>
      <c r="L17">
        <f>ServiceDistribution3[[#This Row],[Cumulative Probability]]*100</f>
        <v>95</v>
      </c>
    </row>
    <row r="18" spans="2:12" x14ac:dyDescent="0.25">
      <c r="B18">
        <v>6</v>
      </c>
      <c r="C18">
        <f t="shared" si="0"/>
        <v>0.125</v>
      </c>
      <c r="D18">
        <f>SUM($C$13:C18)</f>
        <v>0.75</v>
      </c>
      <c r="E18">
        <f t="shared" si="1"/>
        <v>626</v>
      </c>
      <c r="F18">
        <f>ArrivalDistribution[[#This Row],[Cumulative Probability]]*1000</f>
        <v>750</v>
      </c>
      <c r="H18">
        <v>6</v>
      </c>
      <c r="I18">
        <v>0.05</v>
      </c>
      <c r="J18">
        <f>SUM($I$13:I18)</f>
        <v>1</v>
      </c>
      <c r="K18">
        <f t="shared" si="2"/>
        <v>96</v>
      </c>
      <c r="L18">
        <v>99</v>
      </c>
    </row>
    <row r="19" spans="2:12" x14ac:dyDescent="0.25">
      <c r="B19">
        <v>7</v>
      </c>
      <c r="C19">
        <f t="shared" si="0"/>
        <v>0.125</v>
      </c>
      <c r="D19">
        <f>SUM($C$13:C19)</f>
        <v>0.875</v>
      </c>
      <c r="E19">
        <f t="shared" si="1"/>
        <v>751</v>
      </c>
      <c r="F19">
        <f>ArrivalDistribution[[#This Row],[Cumulative Probability]]*1000</f>
        <v>875</v>
      </c>
    </row>
    <row r="20" spans="2:12" x14ac:dyDescent="0.25">
      <c r="B20">
        <v>8</v>
      </c>
      <c r="C20">
        <f t="shared" si="0"/>
        <v>0.125</v>
      </c>
      <c r="D20">
        <f>SUM($C$13:C20)</f>
        <v>1</v>
      </c>
      <c r="E20">
        <f t="shared" si="1"/>
        <v>876</v>
      </c>
      <c r="F20">
        <v>999</v>
      </c>
    </row>
    <row r="23" spans="2:12" x14ac:dyDescent="0.25">
      <c r="C23" s="52" t="s">
        <v>24</v>
      </c>
      <c r="D23" s="52"/>
      <c r="E23" s="52"/>
      <c r="I23" s="52" t="s">
        <v>26</v>
      </c>
      <c r="J23" s="52"/>
      <c r="K23" s="52"/>
    </row>
    <row r="24" spans="2:12" ht="30" x14ac:dyDescent="0.25">
      <c r="C24" s="11" t="s">
        <v>13</v>
      </c>
      <c r="D24" s="11" t="s">
        <v>23</v>
      </c>
      <c r="E24" s="11" t="s">
        <v>25</v>
      </c>
      <c r="F24" s="11"/>
      <c r="I24" s="11" t="s">
        <v>13</v>
      </c>
      <c r="J24" s="11" t="s">
        <v>23</v>
      </c>
      <c r="K24" s="11" t="s">
        <v>27</v>
      </c>
    </row>
    <row r="25" spans="2:12" x14ac:dyDescent="0.25">
      <c r="C25">
        <v>1</v>
      </c>
      <c r="I25">
        <v>1</v>
      </c>
      <c r="J25">
        <f t="shared" ref="J25:J30" ca="1" si="3">RANDBETWEEN($K$13,$L$18)</f>
        <v>16</v>
      </c>
      <c r="K25">
        <f ca="1">INDEX(ServiceDistribution3[Service Time], MATCH(ServiceTimeAssignment[[#This Row],[RandomDigit]], ServiceDistribution3[Random Digit FROM], 1))</f>
        <v>2</v>
      </c>
    </row>
    <row r="26" spans="2:12" x14ac:dyDescent="0.25">
      <c r="C26">
        <v>2</v>
      </c>
      <c r="D26">
        <f t="shared" ref="D26:D30" ca="1" si="4">RANDBETWEEN($E$13,$F$20)</f>
        <v>731</v>
      </c>
      <c r="E26">
        <f ca="1">INDEX(ArrivalDistribution[Inter-Arrival Time], MATCH(ArrivalAssignment[[#This Row],[RandomDigit]], ArrivalDistribution[Random Digit FROM], 1))</f>
        <v>6</v>
      </c>
      <c r="I26">
        <v>2</v>
      </c>
      <c r="J26">
        <f t="shared" ca="1" si="3"/>
        <v>11</v>
      </c>
      <c r="K26">
        <f ca="1">INDEX(ServiceDistribution3[Service Time], MATCH(ServiceTimeAssignment[[#This Row],[RandomDigit]], ServiceDistribution3[Random Digit FROM], 1))</f>
        <v>2</v>
      </c>
    </row>
    <row r="27" spans="2:12" x14ac:dyDescent="0.25">
      <c r="C27">
        <v>3</v>
      </c>
      <c r="D27">
        <f t="shared" ca="1" si="4"/>
        <v>884</v>
      </c>
      <c r="E27">
        <f ca="1">INDEX(ArrivalDistribution[Inter-Arrival Time], MATCH(ArrivalAssignment[[#This Row],[RandomDigit]], ArrivalDistribution[Random Digit FROM], 1))</f>
        <v>8</v>
      </c>
      <c r="I27">
        <v>3</v>
      </c>
      <c r="J27">
        <f t="shared" ca="1" si="3"/>
        <v>98</v>
      </c>
      <c r="K27">
        <f ca="1">INDEX(ServiceDistribution3[Service Time], MATCH(ServiceTimeAssignment[[#This Row],[RandomDigit]], ServiceDistribution3[Random Digit FROM], 1))</f>
        <v>6</v>
      </c>
    </row>
    <row r="28" spans="2:12" x14ac:dyDescent="0.25">
      <c r="C28">
        <v>4</v>
      </c>
      <c r="D28">
        <f t="shared" ca="1" si="4"/>
        <v>30</v>
      </c>
      <c r="E28">
        <f ca="1">INDEX(ArrivalDistribution[Inter-Arrival Time], MATCH(ArrivalAssignment[[#This Row],[RandomDigit]], ArrivalDistribution[Random Digit FROM], 1))</f>
        <v>1</v>
      </c>
      <c r="I28">
        <v>4</v>
      </c>
      <c r="J28">
        <f t="shared" ca="1" si="3"/>
        <v>77</v>
      </c>
      <c r="K28">
        <f ca="1">INDEX(ServiceDistribution3[Service Time], MATCH(ServiceTimeAssignment[[#This Row],[RandomDigit]], ServiceDistribution3[Random Digit FROM], 1))</f>
        <v>4</v>
      </c>
    </row>
    <row r="29" spans="2:12" x14ac:dyDescent="0.25">
      <c r="C29">
        <v>5</v>
      </c>
      <c r="D29">
        <f t="shared" ca="1" si="4"/>
        <v>841</v>
      </c>
      <c r="E29">
        <f ca="1">INDEX(ArrivalDistribution[Inter-Arrival Time], MATCH(ArrivalAssignment[[#This Row],[RandomDigit]], ArrivalDistribution[Random Digit FROM], 1))</f>
        <v>7</v>
      </c>
      <c r="I29">
        <v>5</v>
      </c>
      <c r="J29">
        <f t="shared" ca="1" si="3"/>
        <v>74</v>
      </c>
      <c r="K29">
        <f ca="1">INDEX(ServiceDistribution3[Service Time], MATCH(ServiceTimeAssignment[[#This Row],[RandomDigit]], ServiceDistribution3[Random Digit FROM], 1))</f>
        <v>4</v>
      </c>
    </row>
    <row r="30" spans="2:12" x14ac:dyDescent="0.25">
      <c r="C30">
        <v>6</v>
      </c>
      <c r="D30">
        <f t="shared" ca="1" si="4"/>
        <v>93</v>
      </c>
      <c r="E30">
        <f ca="1">INDEX(ArrivalDistribution[Inter-Arrival Time], MATCH(ArrivalAssignment[[#This Row],[RandomDigit]], ArrivalDistribution[Random Digit FROM], 1))</f>
        <v>1</v>
      </c>
      <c r="I30">
        <v>6</v>
      </c>
      <c r="J30">
        <f t="shared" ca="1" si="3"/>
        <v>33</v>
      </c>
      <c r="K30">
        <f ca="1">INDEX(ServiceDistribution3[Service Time], MATCH(ServiceTimeAssignment[[#This Row],[RandomDigit]], ServiceDistribution3[Random Digit FROM], 1))</f>
        <v>3</v>
      </c>
    </row>
    <row r="34" spans="2:10" x14ac:dyDescent="0.25">
      <c r="C34" s="16" t="s">
        <v>28</v>
      </c>
    </row>
    <row r="35" spans="2:10" ht="30" x14ac:dyDescent="0.25">
      <c r="B35" s="11" t="s">
        <v>13</v>
      </c>
      <c r="C35" s="11" t="s">
        <v>29</v>
      </c>
      <c r="D35" s="11" t="s">
        <v>31</v>
      </c>
      <c r="E35" s="11" t="s">
        <v>30</v>
      </c>
      <c r="F35" s="11" t="s">
        <v>32</v>
      </c>
      <c r="G35" s="11" t="s">
        <v>34</v>
      </c>
      <c r="H35" s="11" t="s">
        <v>33</v>
      </c>
      <c r="I35" s="11" t="s">
        <v>35</v>
      </c>
      <c r="J35" s="11" t="s">
        <v>36</v>
      </c>
    </row>
    <row r="36" spans="2:10" x14ac:dyDescent="0.25">
      <c r="B36">
        <v>1</v>
      </c>
      <c r="C36">
        <v>0</v>
      </c>
      <c r="D36">
        <v>0</v>
      </c>
      <c r="E36">
        <f ca="1">INDEX(ServiceTimeAssignment[Selected Service Time], MATCH(SimulationTable[[#This Row],[Customer]], ServiceTimeAssignment[Customer],0))</f>
        <v>2</v>
      </c>
      <c r="F36">
        <v>0</v>
      </c>
      <c r="G36">
        <f>(SimulationTable[[#This Row],[Service Time Start]]-SimulationTable[[#This Row],[Arrival  Time]])</f>
        <v>0</v>
      </c>
      <c r="H36">
        <f ca="1">(SimulationTable[[#This Row],[Service Time Start]]+SimulationTable[[#This Row],[ServiceTime]])</f>
        <v>2</v>
      </c>
      <c r="I36">
        <f ca="1">(SimulationTable[[#This Row],[ServiceTime]]+SimulationTable[[#This Row],[Waiting Time]])</f>
        <v>2</v>
      </c>
      <c r="J36">
        <v>0</v>
      </c>
    </row>
    <row r="37" spans="2:10" x14ac:dyDescent="0.25">
      <c r="B37">
        <v>2</v>
      </c>
      <c r="C37">
        <f ca="1">INDEX(ArrivalAssignment[Selected Arrival Time], MATCH(SimulationTable[[#This Row],[Customer]], ArrivalAssignment[Customer],0))</f>
        <v>6</v>
      </c>
      <c r="D37">
        <f ca="1">(SimulationTable[[#This Row],[IAT]]+D36)</f>
        <v>6</v>
      </c>
      <c r="E37">
        <f ca="1">INDEX(ServiceTimeAssignment[Selected Service Time], MATCH(SimulationTable[[#This Row],[Customer]], ServiceTimeAssignment[Customer],0))</f>
        <v>2</v>
      </c>
      <c r="F37">
        <f ca="1">MAX(SimulationTable[[#This Row],[Arrival  Time]],H36)</f>
        <v>6</v>
      </c>
      <c r="G37">
        <f ca="1">(SimulationTable[[#This Row],[Service Time Start]]-SimulationTable[[#This Row],[Arrival  Time]])</f>
        <v>0</v>
      </c>
      <c r="H37">
        <f ca="1">(SimulationTable[[#This Row],[Service Time Start]]+SimulationTable[[#This Row],[ServiceTime]])</f>
        <v>8</v>
      </c>
      <c r="I37">
        <f ca="1">(SimulationTable[[#This Row],[ServiceTime]]+SimulationTable[[#This Row],[Waiting Time]])</f>
        <v>2</v>
      </c>
      <c r="J37">
        <f ca="1">(SimulationTable[[#This Row],[Service Time Start]]-H36)</f>
        <v>4</v>
      </c>
    </row>
    <row r="38" spans="2:10" x14ac:dyDescent="0.25">
      <c r="B38">
        <v>3</v>
      </c>
      <c r="C38">
        <f ca="1">INDEX(ArrivalAssignment[Selected Arrival Time], MATCH(SimulationTable[[#This Row],[Customer]], ArrivalAssignment[Customer],0))</f>
        <v>8</v>
      </c>
      <c r="D38">
        <f ca="1">(SimulationTable[[#This Row],[IAT]]+D37)</f>
        <v>14</v>
      </c>
      <c r="E38">
        <f ca="1">INDEX(ServiceTimeAssignment[Selected Service Time], MATCH(SimulationTable[[#This Row],[Customer]], ServiceTimeAssignment[Customer],0))</f>
        <v>6</v>
      </c>
      <c r="F38">
        <f ca="1">MAX(SimulationTable[[#This Row],[Arrival  Time]],H37)</f>
        <v>14</v>
      </c>
      <c r="G38">
        <f ca="1">(SimulationTable[[#This Row],[Service Time Start]]-SimulationTable[[#This Row],[Arrival  Time]])</f>
        <v>0</v>
      </c>
      <c r="H38">
        <f ca="1">(SimulationTable[[#This Row],[Service Time Start]]+SimulationTable[[#This Row],[ServiceTime]])</f>
        <v>20</v>
      </c>
      <c r="I38">
        <f ca="1">(SimulationTable[[#This Row],[ServiceTime]]+SimulationTable[[#This Row],[Waiting Time]])</f>
        <v>6</v>
      </c>
      <c r="J38">
        <f ca="1">(SimulationTable[[#This Row],[Service Time Start]]-H37)</f>
        <v>6</v>
      </c>
    </row>
    <row r="39" spans="2:10" x14ac:dyDescent="0.25">
      <c r="B39">
        <v>4</v>
      </c>
      <c r="C39">
        <f ca="1">INDEX(ArrivalAssignment[Selected Arrival Time], MATCH(SimulationTable[[#This Row],[Customer]], ArrivalAssignment[Customer],0))</f>
        <v>1</v>
      </c>
      <c r="D39">
        <f ca="1">(SimulationTable[[#This Row],[IAT]]+D38)</f>
        <v>15</v>
      </c>
      <c r="E39">
        <f ca="1">INDEX(ServiceTimeAssignment[Selected Service Time], MATCH(SimulationTable[[#This Row],[Customer]], ServiceTimeAssignment[Customer],0))</f>
        <v>4</v>
      </c>
      <c r="F39">
        <f ca="1">MAX(SimulationTable[[#This Row],[Arrival  Time]],H38)</f>
        <v>20</v>
      </c>
      <c r="G39">
        <f ca="1">(SimulationTable[[#This Row],[Service Time Start]]-SimulationTable[[#This Row],[Arrival  Time]])</f>
        <v>5</v>
      </c>
      <c r="H39">
        <f ca="1">(SimulationTable[[#This Row],[Service Time Start]]+SimulationTable[[#This Row],[ServiceTime]])</f>
        <v>24</v>
      </c>
      <c r="I39">
        <f ca="1">(SimulationTable[[#This Row],[ServiceTime]]+SimulationTable[[#This Row],[Waiting Time]])</f>
        <v>9</v>
      </c>
      <c r="J39">
        <f ca="1">(SimulationTable[[#This Row],[Service Time Start]]-H38)</f>
        <v>0</v>
      </c>
    </row>
    <row r="40" spans="2:10" x14ac:dyDescent="0.25">
      <c r="B40">
        <v>5</v>
      </c>
      <c r="C40">
        <f ca="1">INDEX(ArrivalAssignment[Selected Arrival Time], MATCH(SimulationTable[[#This Row],[Customer]], ArrivalAssignment[Customer],0))</f>
        <v>7</v>
      </c>
      <c r="D40">
        <f ca="1">(SimulationTable[[#This Row],[IAT]]+D39)</f>
        <v>22</v>
      </c>
      <c r="E40">
        <f ca="1">INDEX(ServiceTimeAssignment[Selected Service Time], MATCH(SimulationTable[[#This Row],[Customer]], ServiceTimeAssignment[Customer],0))</f>
        <v>4</v>
      </c>
      <c r="F40">
        <f ca="1">MAX(SimulationTable[[#This Row],[Arrival  Time]],H39)</f>
        <v>24</v>
      </c>
      <c r="G40">
        <f ca="1">(SimulationTable[[#This Row],[Service Time Start]]-SimulationTable[[#This Row],[Arrival  Time]])</f>
        <v>2</v>
      </c>
      <c r="H40">
        <f ca="1">(SimulationTable[[#This Row],[Service Time Start]]+SimulationTable[[#This Row],[ServiceTime]])</f>
        <v>28</v>
      </c>
      <c r="I40">
        <f ca="1">(SimulationTable[[#This Row],[ServiceTime]]+SimulationTable[[#This Row],[Waiting Time]])</f>
        <v>6</v>
      </c>
      <c r="J40">
        <f ca="1">(SimulationTable[[#This Row],[Service Time Start]]-H39)</f>
        <v>0</v>
      </c>
    </row>
    <row r="41" spans="2:10" x14ac:dyDescent="0.25">
      <c r="B41">
        <v>6</v>
      </c>
      <c r="C41">
        <f ca="1">INDEX(ArrivalAssignment[Selected Arrival Time], MATCH(SimulationTable[[#This Row],[Customer]], ArrivalAssignment[Customer],0))</f>
        <v>1</v>
      </c>
      <c r="D41">
        <f ca="1">(SimulationTable[[#This Row],[IAT]]+D40)</f>
        <v>23</v>
      </c>
      <c r="E41">
        <f ca="1">INDEX(ServiceTimeAssignment[Selected Service Time], MATCH(SimulationTable[[#This Row],[Customer]], ServiceTimeAssignment[Customer],0))</f>
        <v>3</v>
      </c>
      <c r="F41">
        <f ca="1">MAX(SimulationTable[[#This Row],[Arrival  Time]],H40)</f>
        <v>28</v>
      </c>
      <c r="G41">
        <f ca="1">(SimulationTable[[#This Row],[Service Time Start]]-SimulationTable[[#This Row],[Arrival  Time]])</f>
        <v>5</v>
      </c>
      <c r="H41">
        <f ca="1">(SimulationTable[[#This Row],[Service Time Start]]+SimulationTable[[#This Row],[ServiceTime]])</f>
        <v>31</v>
      </c>
      <c r="I41">
        <f ca="1">(SimulationTable[[#This Row],[ServiceTime]]+SimulationTable[[#This Row],[Waiting Time]])</f>
        <v>8</v>
      </c>
      <c r="J41">
        <f ca="1">(SimulationTable[[#This Row],[Service Time Start]]-H40)</f>
        <v>0</v>
      </c>
    </row>
    <row r="42" spans="2:10" x14ac:dyDescent="0.25">
      <c r="B42" t="s">
        <v>20</v>
      </c>
      <c r="C42">
        <f ca="1">SUBTOTAL(9, SimulationTable[IAT])</f>
        <v>23</v>
      </c>
      <c r="D42">
        <f ca="1">SUBTOTAL(9, SimulationTable[Arrival  Time])</f>
        <v>80</v>
      </c>
      <c r="E42">
        <f ca="1">SUBTOTAL(9, SimulationTable[ServiceTime])</f>
        <v>21</v>
      </c>
      <c r="G42">
        <f ca="1">SUBTOTAL(9, SimulationTable[Waiting Time])</f>
        <v>12</v>
      </c>
      <c r="I42">
        <f ca="1">SUBTOTAL(9, SimulationTable[Time In System])</f>
        <v>33</v>
      </c>
      <c r="J42">
        <f ca="1">SUBTOTAL(9, SimulationTable[Server Idle Time])</f>
        <v>10</v>
      </c>
    </row>
    <row r="46" spans="2:10" ht="27.75" customHeight="1" x14ac:dyDescent="0.25">
      <c r="B46" s="50" t="s">
        <v>48</v>
      </c>
      <c r="C46" s="50"/>
      <c r="D46" s="50"/>
      <c r="E46" s="15" t="s">
        <v>37</v>
      </c>
      <c r="F46" s="15"/>
      <c r="G46" s="15"/>
    </row>
    <row r="47" spans="2:10" x14ac:dyDescent="0.25">
      <c r="B47" s="13"/>
      <c r="C47" s="13"/>
      <c r="D47" s="13" t="s">
        <v>44</v>
      </c>
      <c r="E47" s="14">
        <f ca="1">(SimulationTable[[#Totals],[Waiting Time]] / COUNT(SimulationTable[Customer]) )</f>
        <v>2</v>
      </c>
      <c r="F47" s="14"/>
      <c r="G47" s="14"/>
    </row>
    <row r="50" spans="2:7" x14ac:dyDescent="0.25">
      <c r="B50" s="50" t="s">
        <v>45</v>
      </c>
      <c r="C50" s="50"/>
      <c r="D50" s="50"/>
      <c r="E50" s="15" t="s">
        <v>38</v>
      </c>
      <c r="F50" s="15"/>
      <c r="G50" s="15"/>
    </row>
    <row r="51" spans="2:7" x14ac:dyDescent="0.25">
      <c r="B51" s="13"/>
      <c r="C51" s="13"/>
      <c r="D51" s="13" t="s">
        <v>44</v>
      </c>
      <c r="E51" s="14">
        <f ca="1">(COUNTIF(SimulationTable[Waiting Time], "&gt;0") / COUNT(SimulationTable[Customer]) )</f>
        <v>0.5</v>
      </c>
      <c r="F51" s="14"/>
      <c r="G51" s="14"/>
    </row>
    <row r="53" spans="2:7" x14ac:dyDescent="0.25">
      <c r="B53" s="50" t="s">
        <v>46</v>
      </c>
      <c r="C53" s="50"/>
      <c r="D53" s="50"/>
      <c r="E53" s="15" t="s">
        <v>39</v>
      </c>
      <c r="F53" s="15"/>
      <c r="G53" s="15"/>
    </row>
    <row r="54" spans="2:7" x14ac:dyDescent="0.25">
      <c r="B54" s="13"/>
      <c r="C54" s="13"/>
      <c r="D54" s="13" t="s">
        <v>44</v>
      </c>
      <c r="E54" s="14">
        <f ca="1">(SimulationTable[[#Totals],[Server Idle Time]] / $H$41 )</f>
        <v>0.32258064516129031</v>
      </c>
      <c r="F54" s="14"/>
      <c r="G54" s="14"/>
    </row>
    <row r="56" spans="2:7" x14ac:dyDescent="0.25">
      <c r="B56" s="50" t="s">
        <v>47</v>
      </c>
      <c r="C56" s="50"/>
      <c r="D56" s="50"/>
      <c r="E56" s="15" t="s">
        <v>40</v>
      </c>
    </row>
    <row r="57" spans="2:7" x14ac:dyDescent="0.25">
      <c r="B57" s="13"/>
      <c r="C57" s="13"/>
      <c r="D57" s="13" t="s">
        <v>44</v>
      </c>
      <c r="E57" s="14">
        <f ca="1">(SimulationTable[[#Totals],[Server Idle Time]] / COUNT(SimulationTable[Customer])  )</f>
        <v>1.6666666666666667</v>
      </c>
    </row>
    <row r="59" spans="2:7" x14ac:dyDescent="0.25">
      <c r="B59" s="50" t="s">
        <v>49</v>
      </c>
      <c r="C59" s="50"/>
      <c r="D59" s="50"/>
      <c r="E59" s="15" t="s">
        <v>41</v>
      </c>
    </row>
    <row r="60" spans="2:7" x14ac:dyDescent="0.25">
      <c r="B60" s="13"/>
      <c r="C60" s="13"/>
      <c r="D60" s="13" t="s">
        <v>44</v>
      </c>
      <c r="E60" s="14">
        <f ca="1">(SimulationTable[[#Totals],[IAT]] / COUNT(SimulationTable[Customer]) - 1)</f>
        <v>2.8333333333333335</v>
      </c>
    </row>
    <row r="62" spans="2:7" x14ac:dyDescent="0.25">
      <c r="B62" s="50" t="s">
        <v>43</v>
      </c>
      <c r="C62" s="50"/>
      <c r="D62" s="50"/>
      <c r="E62" s="15" t="s">
        <v>42</v>
      </c>
    </row>
    <row r="63" spans="2:7" x14ac:dyDescent="0.25">
      <c r="B63" s="13"/>
      <c r="C63" s="13"/>
      <c r="D63" s="13" t="s">
        <v>44</v>
      </c>
      <c r="E63" s="14">
        <f ca="1">(SimulationTable[[#Totals],[Time In System]] / COUNT(SimulationTable[Customer])  )</f>
        <v>5.5</v>
      </c>
    </row>
    <row r="65" spans="2:5" x14ac:dyDescent="0.25">
      <c r="B65" s="50" t="s">
        <v>50</v>
      </c>
      <c r="C65" s="50"/>
      <c r="D65" s="50"/>
      <c r="E65" s="15" t="s">
        <v>51</v>
      </c>
    </row>
    <row r="66" spans="2:5" x14ac:dyDescent="0.25">
      <c r="B66" s="13"/>
      <c r="C66" s="13"/>
      <c r="D66" s="13" t="s">
        <v>44</v>
      </c>
      <c r="E66" t="s">
        <v>52</v>
      </c>
    </row>
    <row r="67" spans="2:5" x14ac:dyDescent="0.25">
      <c r="D67" s="13" t="s">
        <v>44</v>
      </c>
      <c r="E67" t="s">
        <v>53</v>
      </c>
    </row>
    <row r="68" spans="2:5" x14ac:dyDescent="0.25">
      <c r="D68" s="13" t="s">
        <v>44</v>
      </c>
      <c r="E68" s="14">
        <f ca="1">((SimulationTable[[#Totals],[ServiceTime]] )  / (SimulationTable[[#Totals], [ServiceTime]] + SimulationTable[[#Totals], [Server Idle Time]]))</f>
        <v>0.67741935483870963</v>
      </c>
    </row>
  </sheetData>
  <mergeCells count="12">
    <mergeCell ref="A1:I1"/>
    <mergeCell ref="C11:E11"/>
    <mergeCell ref="I11:K11"/>
    <mergeCell ref="C23:E23"/>
    <mergeCell ref="I23:K23"/>
    <mergeCell ref="B62:D62"/>
    <mergeCell ref="B65:D65"/>
    <mergeCell ref="B46:D46"/>
    <mergeCell ref="B50:D50"/>
    <mergeCell ref="B53:D53"/>
    <mergeCell ref="B56:D56"/>
    <mergeCell ref="B59:D59"/>
  </mergeCells>
  <phoneticPr fontId="2" type="noConversion"/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8880E-D442-48EF-BFFD-4B14C3DD8F2B}">
  <dimension ref="B1:O1005"/>
  <sheetViews>
    <sheetView zoomScale="145" zoomScaleNormal="145" workbookViewId="0">
      <selection activeCell="Q29" sqref="Q29"/>
    </sheetView>
  </sheetViews>
  <sheetFormatPr defaultRowHeight="15" x14ac:dyDescent="0.25"/>
  <cols>
    <col min="3" max="4" width="13.42578125" bestFit="1" customWidth="1"/>
    <col min="5" max="5" width="9.7109375" customWidth="1"/>
    <col min="6" max="6" width="14.5703125" customWidth="1"/>
    <col min="7" max="7" width="13.5703125" customWidth="1"/>
    <col min="15" max="15" width="13.7109375" customWidth="1"/>
    <col min="17" max="17" width="14" customWidth="1"/>
  </cols>
  <sheetData>
    <row r="1" spans="2:15" x14ac:dyDescent="0.25">
      <c r="B1" s="52" t="s">
        <v>54</v>
      </c>
      <c r="C1" s="52"/>
      <c r="D1" s="52"/>
      <c r="E1" s="52"/>
      <c r="F1" s="52"/>
    </row>
    <row r="3" spans="2:15" x14ac:dyDescent="0.25">
      <c r="B3" s="21"/>
      <c r="C3" s="46" t="s">
        <v>62</v>
      </c>
      <c r="D3" s="46"/>
      <c r="E3" s="20"/>
      <c r="F3" s="46" t="s">
        <v>63</v>
      </c>
      <c r="G3" s="47"/>
    </row>
    <row r="4" spans="2:15" x14ac:dyDescent="0.25">
      <c r="B4" s="4"/>
      <c r="C4" s="17" t="s">
        <v>55</v>
      </c>
      <c r="D4" s="24" t="s">
        <v>56</v>
      </c>
      <c r="E4" s="17" t="s">
        <v>64</v>
      </c>
      <c r="F4" s="17" t="s">
        <v>55</v>
      </c>
      <c r="G4" s="3" t="s">
        <v>56</v>
      </c>
    </row>
    <row r="5" spans="2:15" ht="45" x14ac:dyDescent="0.25">
      <c r="B5" s="25" t="s">
        <v>57</v>
      </c>
      <c r="C5" s="18" t="str">
        <f ca="1">_xlfn.FORMULATEXT(C6)</f>
        <v>=1-2*RAND()</v>
      </c>
      <c r="D5" s="19" t="str">
        <f t="shared" ref="D5:G5" ca="1" si="0">_xlfn.FORMULATEXT(D6)</f>
        <v>=1-2*RAND()</v>
      </c>
      <c r="E5" s="18" t="str">
        <f t="shared" ca="1" si="0"/>
        <v>=IF(C6^2+D6^2&lt;1, 1, 0)</v>
      </c>
      <c r="F5" s="18" t="str">
        <f t="shared" ca="1" si="0"/>
        <v>=IF((C6^2+D6^2)&lt;1, C6, 0)</v>
      </c>
      <c r="G5" s="19" t="str">
        <f t="shared" ca="1" si="0"/>
        <v>=IF((C6^2+D6^2)&lt;1, D6, 0)</v>
      </c>
    </row>
    <row r="6" spans="2:15" x14ac:dyDescent="0.25">
      <c r="B6" s="22">
        <v>1</v>
      </c>
      <c r="C6" s="1">
        <f ca="1">1-2*RAND()</f>
        <v>0.40535394854795692</v>
      </c>
      <c r="D6" s="3">
        <f ca="1">1-2*RAND()</f>
        <v>0.92882496917276636</v>
      </c>
      <c r="E6">
        <f ca="1">IF(C6^2+D6^2&lt;1, 1, 0)</f>
        <v>0</v>
      </c>
      <c r="F6" s="4">
        <f t="shared" ref="F6:F69" ca="1" si="1">IF((C6^2+D6^2)&lt;1, C6, 0)</f>
        <v>0</v>
      </c>
      <c r="G6" s="5">
        <f t="shared" ref="G6:G69" ca="1" si="2">IF((C6^2+D6^2)&lt;1, D6, 0)</f>
        <v>0</v>
      </c>
    </row>
    <row r="7" spans="2:15" x14ac:dyDescent="0.25">
      <c r="B7" s="22">
        <v>2</v>
      </c>
      <c r="C7" s="4">
        <f t="shared" ref="C7:D22" ca="1" si="3">1-2*RAND()</f>
        <v>0.94345972150978241</v>
      </c>
      <c r="D7" s="5">
        <f t="shared" ca="1" si="3"/>
        <v>-0.15055685943810126</v>
      </c>
      <c r="E7">
        <f t="shared" ref="E7:E70" ca="1" si="4">IF(C7^2+D7^2&lt;1, 1, 0)</f>
        <v>1</v>
      </c>
      <c r="F7" s="4">
        <f t="shared" ca="1" si="1"/>
        <v>0.94345972150978241</v>
      </c>
      <c r="G7" s="5">
        <f t="shared" ca="1" si="2"/>
        <v>-0.15055685943810126</v>
      </c>
    </row>
    <row r="8" spans="2:15" x14ac:dyDescent="0.25">
      <c r="B8" s="22">
        <v>3</v>
      </c>
      <c r="C8" s="4">
        <f t="shared" ca="1" si="3"/>
        <v>0.2409096950427454</v>
      </c>
      <c r="D8" s="5">
        <f t="shared" ca="1" si="3"/>
        <v>0.92007365187153312</v>
      </c>
      <c r="E8">
        <f t="shared" ca="1" si="4"/>
        <v>1</v>
      </c>
      <c r="F8" s="4">
        <f t="shared" ca="1" si="1"/>
        <v>0.2409096950427454</v>
      </c>
      <c r="G8" s="5">
        <f t="shared" ca="1" si="2"/>
        <v>0.92007365187153312</v>
      </c>
      <c r="J8" s="53" t="s">
        <v>58</v>
      </c>
      <c r="K8" s="53"/>
      <c r="L8" s="53"/>
      <c r="M8" s="20">
        <f ca="1">COUNTIF(E6:E1005, "=1")</f>
        <v>775</v>
      </c>
      <c r="N8" s="54" t="str">
        <f ca="1">_xlfn.FORMULATEXT(M8)</f>
        <v>=COUNTIF(E6:E1005, "=1")</v>
      </c>
      <c r="O8" s="54"/>
    </row>
    <row r="9" spans="2:15" x14ac:dyDescent="0.25">
      <c r="B9" s="22">
        <v>4</v>
      </c>
      <c r="C9" s="4">
        <f t="shared" ca="1" si="3"/>
        <v>-0.74502543659784548</v>
      </c>
      <c r="D9" s="5">
        <f t="shared" ca="1" si="3"/>
        <v>-0.50949847492158895</v>
      </c>
      <c r="E9">
        <f t="shared" ca="1" si="4"/>
        <v>1</v>
      </c>
      <c r="F9" s="4">
        <f t="shared" ca="1" si="1"/>
        <v>-0.74502543659784548</v>
      </c>
      <c r="G9" s="5">
        <f t="shared" ca="1" si="2"/>
        <v>-0.50949847492158895</v>
      </c>
      <c r="J9" s="53" t="s">
        <v>59</v>
      </c>
      <c r="K9" s="53"/>
      <c r="L9" s="53"/>
      <c r="M9" s="20">
        <f ca="1">COUNT(E6:E1005)</f>
        <v>1000</v>
      </c>
      <c r="N9" s="54" t="str">
        <f t="shared" ref="N9:N10" ca="1" si="5">_xlfn.FORMULATEXT(M9)</f>
        <v>=COUNT(E6:E1005)</v>
      </c>
      <c r="O9" s="54"/>
    </row>
    <row r="10" spans="2:15" x14ac:dyDescent="0.25">
      <c r="B10" s="22">
        <v>5</v>
      </c>
      <c r="C10" s="4">
        <f t="shared" ca="1" si="3"/>
        <v>5.6276251057616911E-2</v>
      </c>
      <c r="D10" s="5">
        <f t="shared" ca="1" si="3"/>
        <v>-0.6870852593307013</v>
      </c>
      <c r="E10">
        <f t="shared" ca="1" si="4"/>
        <v>1</v>
      </c>
      <c r="F10" s="4">
        <f t="shared" ca="1" si="1"/>
        <v>5.6276251057616911E-2</v>
      </c>
      <c r="G10" s="5">
        <f t="shared" ca="1" si="2"/>
        <v>-0.6870852593307013</v>
      </c>
      <c r="J10" s="55" t="s">
        <v>60</v>
      </c>
      <c r="K10" s="56"/>
      <c r="L10" s="57"/>
      <c r="M10" s="20">
        <f ca="1">M8/M9</f>
        <v>0.77500000000000002</v>
      </c>
      <c r="N10" s="54" t="str">
        <f t="shared" ca="1" si="5"/>
        <v>=M8/M9</v>
      </c>
      <c r="O10" s="54"/>
    </row>
    <row r="11" spans="2:15" x14ac:dyDescent="0.25">
      <c r="B11" s="22">
        <v>6</v>
      </c>
      <c r="C11" s="4">
        <f t="shared" ca="1" si="3"/>
        <v>-5.1274131493358244E-2</v>
      </c>
      <c r="D11" s="5">
        <f t="shared" ca="1" si="3"/>
        <v>-1.3261005134842074E-2</v>
      </c>
      <c r="E11">
        <f t="shared" ca="1" si="4"/>
        <v>1</v>
      </c>
      <c r="F11" s="4">
        <f t="shared" ca="1" si="1"/>
        <v>-5.1274131493358244E-2</v>
      </c>
      <c r="G11" s="5">
        <f t="shared" ca="1" si="2"/>
        <v>-1.3261005134842074E-2</v>
      </c>
      <c r="J11" s="55" t="s">
        <v>61</v>
      </c>
      <c r="K11" s="56"/>
      <c r="L11" s="57"/>
      <c r="M11" s="20">
        <f ca="1">M10*4</f>
        <v>3.1</v>
      </c>
      <c r="N11" s="54" t="str">
        <f ca="1">_xlfn.FORMULATEXT(M11)</f>
        <v>=M10*4</v>
      </c>
      <c r="O11" s="54"/>
    </row>
    <row r="12" spans="2:15" x14ac:dyDescent="0.25">
      <c r="B12" s="22">
        <v>7</v>
      </c>
      <c r="C12" s="4">
        <f t="shared" ca="1" si="3"/>
        <v>-0.71410501862946751</v>
      </c>
      <c r="D12" s="5">
        <f t="shared" ca="1" si="3"/>
        <v>-0.92650664973034424</v>
      </c>
      <c r="E12">
        <f t="shared" ca="1" si="4"/>
        <v>0</v>
      </c>
      <c r="F12" s="4">
        <f t="shared" ca="1" si="1"/>
        <v>0</v>
      </c>
      <c r="G12" s="5">
        <f t="shared" ca="1" si="2"/>
        <v>0</v>
      </c>
    </row>
    <row r="13" spans="2:15" x14ac:dyDescent="0.25">
      <c r="B13" s="22">
        <v>8</v>
      </c>
      <c r="C13" s="4">
        <f t="shared" ca="1" si="3"/>
        <v>0.92215442127880154</v>
      </c>
      <c r="D13" s="5">
        <f t="shared" ca="1" si="3"/>
        <v>-0.1397598005359264</v>
      </c>
      <c r="E13">
        <f t="shared" ca="1" si="4"/>
        <v>1</v>
      </c>
      <c r="F13" s="4">
        <f t="shared" ca="1" si="1"/>
        <v>0.92215442127880154</v>
      </c>
      <c r="G13" s="5">
        <f t="shared" ca="1" si="2"/>
        <v>-0.1397598005359264</v>
      </c>
    </row>
    <row r="14" spans="2:15" x14ac:dyDescent="0.25">
      <c r="B14" s="22">
        <v>9</v>
      </c>
      <c r="C14" s="4">
        <f t="shared" ca="1" si="3"/>
        <v>0.70145147196117286</v>
      </c>
      <c r="D14" s="5">
        <f t="shared" ca="1" si="3"/>
        <v>0.22561860466017025</v>
      </c>
      <c r="E14">
        <f t="shared" ca="1" si="4"/>
        <v>1</v>
      </c>
      <c r="F14" s="4">
        <f t="shared" ca="1" si="1"/>
        <v>0.70145147196117286</v>
      </c>
      <c r="G14" s="5">
        <f t="shared" ca="1" si="2"/>
        <v>0.22561860466017025</v>
      </c>
    </row>
    <row r="15" spans="2:15" x14ac:dyDescent="0.25">
      <c r="B15" s="22">
        <v>10</v>
      </c>
      <c r="C15" s="4">
        <f t="shared" ca="1" si="3"/>
        <v>0.43325838494123037</v>
      </c>
      <c r="D15" s="5">
        <f t="shared" ca="1" si="3"/>
        <v>0.42352935591800511</v>
      </c>
      <c r="E15">
        <f t="shared" ca="1" si="4"/>
        <v>1</v>
      </c>
      <c r="F15" s="4">
        <f t="shared" ca="1" si="1"/>
        <v>0.43325838494123037</v>
      </c>
      <c r="G15" s="5">
        <f t="shared" ca="1" si="2"/>
        <v>0.42352935591800511</v>
      </c>
    </row>
    <row r="16" spans="2:15" x14ac:dyDescent="0.25">
      <c r="B16" s="22">
        <v>11</v>
      </c>
      <c r="C16" s="4">
        <f t="shared" ca="1" si="3"/>
        <v>-0.20397225370751682</v>
      </c>
      <c r="D16" s="5">
        <f t="shared" ca="1" si="3"/>
        <v>-0.74856723721021989</v>
      </c>
      <c r="E16">
        <f t="shared" ca="1" si="4"/>
        <v>1</v>
      </c>
      <c r="F16" s="4">
        <f t="shared" ca="1" si="1"/>
        <v>-0.20397225370751682</v>
      </c>
      <c r="G16" s="5">
        <f t="shared" ca="1" si="2"/>
        <v>-0.74856723721021989</v>
      </c>
    </row>
    <row r="17" spans="2:7" x14ac:dyDescent="0.25">
      <c r="B17" s="22">
        <v>12</v>
      </c>
      <c r="C17" s="4">
        <f t="shared" ca="1" si="3"/>
        <v>-0.48644953157281701</v>
      </c>
      <c r="D17" s="5">
        <f t="shared" ca="1" si="3"/>
        <v>-0.14504801371621068</v>
      </c>
      <c r="E17">
        <f t="shared" ca="1" si="4"/>
        <v>1</v>
      </c>
      <c r="F17" s="4">
        <f t="shared" ca="1" si="1"/>
        <v>-0.48644953157281701</v>
      </c>
      <c r="G17" s="5">
        <f t="shared" ca="1" si="2"/>
        <v>-0.14504801371621068</v>
      </c>
    </row>
    <row r="18" spans="2:7" x14ac:dyDescent="0.25">
      <c r="B18" s="22">
        <v>13</v>
      </c>
      <c r="C18" s="4">
        <f t="shared" ca="1" si="3"/>
        <v>-0.53715637247330394</v>
      </c>
      <c r="D18" s="5">
        <f t="shared" ca="1" si="3"/>
        <v>0.98698410245989621</v>
      </c>
      <c r="E18">
        <f t="shared" ca="1" si="4"/>
        <v>0</v>
      </c>
      <c r="F18" s="4">
        <f t="shared" ca="1" si="1"/>
        <v>0</v>
      </c>
      <c r="G18" s="5">
        <f t="shared" ca="1" si="2"/>
        <v>0</v>
      </c>
    </row>
    <row r="19" spans="2:7" x14ac:dyDescent="0.25">
      <c r="B19" s="22">
        <v>14</v>
      </c>
      <c r="C19" s="4">
        <f t="shared" ca="1" si="3"/>
        <v>-0.5095859757908292</v>
      </c>
      <c r="D19" s="5">
        <f t="shared" ca="1" si="3"/>
        <v>-0.88923348608065966</v>
      </c>
      <c r="E19">
        <f t="shared" ca="1" si="4"/>
        <v>0</v>
      </c>
      <c r="F19" s="4">
        <f t="shared" ca="1" si="1"/>
        <v>0</v>
      </c>
      <c r="G19" s="5">
        <f t="shared" ca="1" si="2"/>
        <v>0</v>
      </c>
    </row>
    <row r="20" spans="2:7" x14ac:dyDescent="0.25">
      <c r="B20" s="22">
        <v>15</v>
      </c>
      <c r="C20" s="4">
        <f t="shared" ca="1" si="3"/>
        <v>-0.20143089185325902</v>
      </c>
      <c r="D20" s="5">
        <f t="shared" ca="1" si="3"/>
        <v>0.722296095402295</v>
      </c>
      <c r="E20">
        <f t="shared" ca="1" si="4"/>
        <v>1</v>
      </c>
      <c r="F20" s="4">
        <f t="shared" ca="1" si="1"/>
        <v>-0.20143089185325902</v>
      </c>
      <c r="G20" s="5">
        <f t="shared" ca="1" si="2"/>
        <v>0.722296095402295</v>
      </c>
    </row>
    <row r="21" spans="2:7" x14ac:dyDescent="0.25">
      <c r="B21" s="22">
        <v>16</v>
      </c>
      <c r="C21" s="4">
        <f t="shared" ca="1" si="3"/>
        <v>-0.97685890790747631</v>
      </c>
      <c r="D21" s="5">
        <f t="shared" ca="1" si="3"/>
        <v>0.17613129348032741</v>
      </c>
      <c r="E21">
        <f t="shared" ca="1" si="4"/>
        <v>1</v>
      </c>
      <c r="F21" s="4">
        <f t="shared" ca="1" si="1"/>
        <v>-0.97685890790747631</v>
      </c>
      <c r="G21" s="5">
        <f t="shared" ca="1" si="2"/>
        <v>0.17613129348032741</v>
      </c>
    </row>
    <row r="22" spans="2:7" x14ac:dyDescent="0.25">
      <c r="B22" s="22">
        <v>17</v>
      </c>
      <c r="C22" s="4">
        <f t="shared" ca="1" si="3"/>
        <v>-0.77144733315208702</v>
      </c>
      <c r="D22" s="5">
        <f t="shared" ca="1" si="3"/>
        <v>0.84681442409180652</v>
      </c>
      <c r="E22">
        <f t="shared" ca="1" si="4"/>
        <v>0</v>
      </c>
      <c r="F22" s="4">
        <f t="shared" ca="1" si="1"/>
        <v>0</v>
      </c>
      <c r="G22" s="5">
        <f t="shared" ca="1" si="2"/>
        <v>0</v>
      </c>
    </row>
    <row r="23" spans="2:7" x14ac:dyDescent="0.25">
      <c r="B23" s="22">
        <v>18</v>
      </c>
      <c r="C23" s="4">
        <f t="shared" ref="C23:D86" ca="1" si="6">1-2*RAND()</f>
        <v>0.1159827277835066</v>
      </c>
      <c r="D23" s="5">
        <f t="shared" ca="1" si="6"/>
        <v>5.8030505342259397E-2</v>
      </c>
      <c r="E23">
        <f t="shared" ca="1" si="4"/>
        <v>1</v>
      </c>
      <c r="F23" s="4">
        <f t="shared" ca="1" si="1"/>
        <v>0.1159827277835066</v>
      </c>
      <c r="G23" s="5">
        <f t="shared" ca="1" si="2"/>
        <v>5.8030505342259397E-2</v>
      </c>
    </row>
    <row r="24" spans="2:7" x14ac:dyDescent="0.25">
      <c r="B24" s="22">
        <v>19</v>
      </c>
      <c r="C24" s="4">
        <f t="shared" ca="1" si="6"/>
        <v>-0.69785726548058546</v>
      </c>
      <c r="D24" s="5">
        <f t="shared" ca="1" si="6"/>
        <v>-0.26941435936991032</v>
      </c>
      <c r="E24">
        <f t="shared" ca="1" si="4"/>
        <v>1</v>
      </c>
      <c r="F24" s="4">
        <f t="shared" ca="1" si="1"/>
        <v>-0.69785726548058546</v>
      </c>
      <c r="G24" s="5">
        <f t="shared" ca="1" si="2"/>
        <v>-0.26941435936991032</v>
      </c>
    </row>
    <row r="25" spans="2:7" x14ac:dyDescent="0.25">
      <c r="B25" s="22">
        <v>20</v>
      </c>
      <c r="C25" s="4">
        <f t="shared" ca="1" si="6"/>
        <v>-0.19744847985072655</v>
      </c>
      <c r="D25" s="5">
        <f t="shared" ca="1" si="6"/>
        <v>0.17896736804670965</v>
      </c>
      <c r="E25">
        <f t="shared" ca="1" si="4"/>
        <v>1</v>
      </c>
      <c r="F25" s="4">
        <f t="shared" ca="1" si="1"/>
        <v>-0.19744847985072655</v>
      </c>
      <c r="G25" s="5">
        <f t="shared" ca="1" si="2"/>
        <v>0.17896736804670965</v>
      </c>
    </row>
    <row r="26" spans="2:7" x14ac:dyDescent="0.25">
      <c r="B26" s="22">
        <v>21</v>
      </c>
      <c r="C26" s="4">
        <f t="shared" ca="1" si="6"/>
        <v>-0.23996604010327904</v>
      </c>
      <c r="D26" s="5">
        <f t="shared" ca="1" si="6"/>
        <v>0.24650946465349866</v>
      </c>
      <c r="E26">
        <f t="shared" ca="1" si="4"/>
        <v>1</v>
      </c>
      <c r="F26" s="4">
        <f t="shared" ca="1" si="1"/>
        <v>-0.23996604010327904</v>
      </c>
      <c r="G26" s="5">
        <f t="shared" ca="1" si="2"/>
        <v>0.24650946465349866</v>
      </c>
    </row>
    <row r="27" spans="2:7" x14ac:dyDescent="0.25">
      <c r="B27" s="22">
        <v>22</v>
      </c>
      <c r="C27" s="4">
        <f t="shared" ca="1" si="6"/>
        <v>0.64915806398013198</v>
      </c>
      <c r="D27" s="5">
        <f t="shared" ca="1" si="6"/>
        <v>0.46445453653998392</v>
      </c>
      <c r="E27">
        <f t="shared" ca="1" si="4"/>
        <v>1</v>
      </c>
      <c r="F27" s="4">
        <f t="shared" ca="1" si="1"/>
        <v>0.64915806398013198</v>
      </c>
      <c r="G27" s="5">
        <f t="shared" ca="1" si="2"/>
        <v>0.46445453653998392</v>
      </c>
    </row>
    <row r="28" spans="2:7" x14ac:dyDescent="0.25">
      <c r="B28" s="22">
        <v>23</v>
      </c>
      <c r="C28" s="4">
        <f t="shared" ca="1" si="6"/>
        <v>0.62222821111035298</v>
      </c>
      <c r="D28" s="5">
        <f t="shared" ca="1" si="6"/>
        <v>-0.34555325708642903</v>
      </c>
      <c r="E28">
        <f t="shared" ca="1" si="4"/>
        <v>1</v>
      </c>
      <c r="F28" s="4">
        <f t="shared" ca="1" si="1"/>
        <v>0.62222821111035298</v>
      </c>
      <c r="G28" s="5">
        <f t="shared" ca="1" si="2"/>
        <v>-0.34555325708642903</v>
      </c>
    </row>
    <row r="29" spans="2:7" x14ac:dyDescent="0.25">
      <c r="B29" s="22">
        <v>24</v>
      </c>
      <c r="C29" s="4">
        <f t="shared" ca="1" si="6"/>
        <v>-0.12364868577562982</v>
      </c>
      <c r="D29" s="5">
        <f t="shared" ca="1" si="6"/>
        <v>0.34791337492761087</v>
      </c>
      <c r="E29">
        <f t="shared" ca="1" si="4"/>
        <v>1</v>
      </c>
      <c r="F29" s="4">
        <f t="shared" ca="1" si="1"/>
        <v>-0.12364868577562982</v>
      </c>
      <c r="G29" s="5">
        <f t="shared" ca="1" si="2"/>
        <v>0.34791337492761087</v>
      </c>
    </row>
    <row r="30" spans="2:7" x14ac:dyDescent="0.25">
      <c r="B30" s="22">
        <v>25</v>
      </c>
      <c r="C30" s="4">
        <f t="shared" ca="1" si="6"/>
        <v>0.69266399245916532</v>
      </c>
      <c r="D30" s="5">
        <f t="shared" ca="1" si="6"/>
        <v>-0.49255515228301161</v>
      </c>
      <c r="E30">
        <f t="shared" ca="1" si="4"/>
        <v>1</v>
      </c>
      <c r="F30" s="4">
        <f t="shared" ca="1" si="1"/>
        <v>0.69266399245916532</v>
      </c>
      <c r="G30" s="5">
        <f t="shared" ca="1" si="2"/>
        <v>-0.49255515228301161</v>
      </c>
    </row>
    <row r="31" spans="2:7" x14ac:dyDescent="0.25">
      <c r="B31" s="22">
        <v>26</v>
      </c>
      <c r="C31" s="4">
        <f t="shared" ca="1" si="6"/>
        <v>-0.43561204275459287</v>
      </c>
      <c r="D31" s="5">
        <f t="shared" ca="1" si="6"/>
        <v>-0.58962690272005114</v>
      </c>
      <c r="E31">
        <f t="shared" ca="1" si="4"/>
        <v>1</v>
      </c>
      <c r="F31" s="4">
        <f t="shared" ca="1" si="1"/>
        <v>-0.43561204275459287</v>
      </c>
      <c r="G31" s="5">
        <f t="shared" ca="1" si="2"/>
        <v>-0.58962690272005114</v>
      </c>
    </row>
    <row r="32" spans="2:7" x14ac:dyDescent="0.25">
      <c r="B32" s="22">
        <v>27</v>
      </c>
      <c r="C32" s="4">
        <f t="shared" ca="1" si="6"/>
        <v>-0.49596569935898427</v>
      </c>
      <c r="D32" s="5">
        <f t="shared" ca="1" si="6"/>
        <v>-0.61841554961142564</v>
      </c>
      <c r="E32">
        <f t="shared" ca="1" si="4"/>
        <v>1</v>
      </c>
      <c r="F32" s="4">
        <f t="shared" ca="1" si="1"/>
        <v>-0.49596569935898427</v>
      </c>
      <c r="G32" s="5">
        <f t="shared" ca="1" si="2"/>
        <v>-0.61841554961142564</v>
      </c>
    </row>
    <row r="33" spans="2:7" x14ac:dyDescent="0.25">
      <c r="B33" s="22">
        <v>28</v>
      </c>
      <c r="C33" s="4">
        <f t="shared" ca="1" si="6"/>
        <v>-0.23659607684334882</v>
      </c>
      <c r="D33" s="5">
        <f t="shared" ca="1" si="6"/>
        <v>0.48699464911869095</v>
      </c>
      <c r="E33">
        <f t="shared" ca="1" si="4"/>
        <v>1</v>
      </c>
      <c r="F33" s="4">
        <f t="shared" ca="1" si="1"/>
        <v>-0.23659607684334882</v>
      </c>
      <c r="G33" s="5">
        <f t="shared" ca="1" si="2"/>
        <v>0.48699464911869095</v>
      </c>
    </row>
    <row r="34" spans="2:7" x14ac:dyDescent="0.25">
      <c r="B34" s="22">
        <v>29</v>
      </c>
      <c r="C34" s="4">
        <f t="shared" ca="1" si="6"/>
        <v>-0.20781461602996676</v>
      </c>
      <c r="D34" s="5">
        <f t="shared" ca="1" si="6"/>
        <v>-0.19849610901999348</v>
      </c>
      <c r="E34">
        <f t="shared" ca="1" si="4"/>
        <v>1</v>
      </c>
      <c r="F34" s="4">
        <f t="shared" ca="1" si="1"/>
        <v>-0.20781461602996676</v>
      </c>
      <c r="G34" s="5">
        <f t="shared" ca="1" si="2"/>
        <v>-0.19849610901999348</v>
      </c>
    </row>
    <row r="35" spans="2:7" x14ac:dyDescent="0.25">
      <c r="B35" s="22">
        <v>30</v>
      </c>
      <c r="C35" s="4">
        <f t="shared" ca="1" si="6"/>
        <v>-0.98919045374388248</v>
      </c>
      <c r="D35" s="5">
        <f t="shared" ca="1" si="6"/>
        <v>-0.78401791861779691</v>
      </c>
      <c r="E35">
        <f t="shared" ca="1" si="4"/>
        <v>0</v>
      </c>
      <c r="F35" s="4">
        <f t="shared" ca="1" si="1"/>
        <v>0</v>
      </c>
      <c r="G35" s="5">
        <f t="shared" ca="1" si="2"/>
        <v>0</v>
      </c>
    </row>
    <row r="36" spans="2:7" x14ac:dyDescent="0.25">
      <c r="B36" s="22">
        <v>31</v>
      </c>
      <c r="C36" s="4">
        <f t="shared" ca="1" si="6"/>
        <v>0.4003460995601813</v>
      </c>
      <c r="D36" s="5">
        <f t="shared" ca="1" si="6"/>
        <v>-0.55479571839213904</v>
      </c>
      <c r="E36">
        <f t="shared" ca="1" si="4"/>
        <v>1</v>
      </c>
      <c r="F36" s="4">
        <f t="shared" ca="1" si="1"/>
        <v>0.4003460995601813</v>
      </c>
      <c r="G36" s="5">
        <f t="shared" ca="1" si="2"/>
        <v>-0.55479571839213904</v>
      </c>
    </row>
    <row r="37" spans="2:7" x14ac:dyDescent="0.25">
      <c r="B37" s="22">
        <v>32</v>
      </c>
      <c r="C37" s="4">
        <f t="shared" ca="1" si="6"/>
        <v>0.85928697278380017</v>
      </c>
      <c r="D37" s="5">
        <f t="shared" ca="1" si="6"/>
        <v>0.61988360070966197</v>
      </c>
      <c r="E37">
        <f t="shared" ca="1" si="4"/>
        <v>0</v>
      </c>
      <c r="F37" s="4">
        <f t="shared" ca="1" si="1"/>
        <v>0</v>
      </c>
      <c r="G37" s="5">
        <f t="shared" ca="1" si="2"/>
        <v>0</v>
      </c>
    </row>
    <row r="38" spans="2:7" x14ac:dyDescent="0.25">
      <c r="B38" s="22">
        <v>33</v>
      </c>
      <c r="C38" s="4">
        <f t="shared" ca="1" si="6"/>
        <v>0.21680506201128225</v>
      </c>
      <c r="D38" s="5">
        <f t="shared" ca="1" si="6"/>
        <v>-0.45842188750649204</v>
      </c>
      <c r="E38">
        <f t="shared" ca="1" si="4"/>
        <v>1</v>
      </c>
      <c r="F38" s="4">
        <f t="shared" ca="1" si="1"/>
        <v>0.21680506201128225</v>
      </c>
      <c r="G38" s="5">
        <f t="shared" ca="1" si="2"/>
        <v>-0.45842188750649204</v>
      </c>
    </row>
    <row r="39" spans="2:7" x14ac:dyDescent="0.25">
      <c r="B39" s="22">
        <v>34</v>
      </c>
      <c r="C39" s="4">
        <f t="shared" ca="1" si="6"/>
        <v>0.13012659984233954</v>
      </c>
      <c r="D39" s="5">
        <f t="shared" ca="1" si="6"/>
        <v>0.58964677461998916</v>
      </c>
      <c r="E39">
        <f t="shared" ca="1" si="4"/>
        <v>1</v>
      </c>
      <c r="F39" s="4">
        <f t="shared" ca="1" si="1"/>
        <v>0.13012659984233954</v>
      </c>
      <c r="G39" s="5">
        <f t="shared" ca="1" si="2"/>
        <v>0.58964677461998916</v>
      </c>
    </row>
    <row r="40" spans="2:7" x14ac:dyDescent="0.25">
      <c r="B40" s="22">
        <v>35</v>
      </c>
      <c r="C40" s="4">
        <f t="shared" ca="1" si="6"/>
        <v>0.55011971586114905</v>
      </c>
      <c r="D40" s="5">
        <f t="shared" ca="1" si="6"/>
        <v>-0.83014478761488264</v>
      </c>
      <c r="E40">
        <f t="shared" ca="1" si="4"/>
        <v>1</v>
      </c>
      <c r="F40" s="4">
        <f t="shared" ca="1" si="1"/>
        <v>0.55011971586114905</v>
      </c>
      <c r="G40" s="5">
        <f t="shared" ca="1" si="2"/>
        <v>-0.83014478761488264</v>
      </c>
    </row>
    <row r="41" spans="2:7" x14ac:dyDescent="0.25">
      <c r="B41" s="22">
        <v>36</v>
      </c>
      <c r="C41" s="4">
        <f t="shared" ca="1" si="6"/>
        <v>0.32449124366374571</v>
      </c>
      <c r="D41" s="5">
        <f t="shared" ca="1" si="6"/>
        <v>-0.29068395995910601</v>
      </c>
      <c r="E41">
        <f t="shared" ca="1" si="4"/>
        <v>1</v>
      </c>
      <c r="F41" s="4">
        <f t="shared" ca="1" si="1"/>
        <v>0.32449124366374571</v>
      </c>
      <c r="G41" s="5">
        <f t="shared" ca="1" si="2"/>
        <v>-0.29068395995910601</v>
      </c>
    </row>
    <row r="42" spans="2:7" x14ac:dyDescent="0.25">
      <c r="B42" s="22">
        <v>37</v>
      </c>
      <c r="C42" s="4">
        <f t="shared" ca="1" si="6"/>
        <v>-0.15796690982357209</v>
      </c>
      <c r="D42" s="5">
        <f t="shared" ca="1" si="6"/>
        <v>0.99228926735261624</v>
      </c>
      <c r="E42">
        <f t="shared" ca="1" si="4"/>
        <v>0</v>
      </c>
      <c r="F42" s="4">
        <f t="shared" ca="1" si="1"/>
        <v>0</v>
      </c>
      <c r="G42" s="5">
        <f t="shared" ca="1" si="2"/>
        <v>0</v>
      </c>
    </row>
    <row r="43" spans="2:7" x14ac:dyDescent="0.25">
      <c r="B43" s="22">
        <v>38</v>
      </c>
      <c r="C43" s="4">
        <f t="shared" ca="1" si="6"/>
        <v>0.42137422928926993</v>
      </c>
      <c r="D43" s="5">
        <f t="shared" ca="1" si="6"/>
        <v>-0.47072293769665663</v>
      </c>
      <c r="E43">
        <f t="shared" ca="1" si="4"/>
        <v>1</v>
      </c>
      <c r="F43" s="4">
        <f t="shared" ca="1" si="1"/>
        <v>0.42137422928926993</v>
      </c>
      <c r="G43" s="5">
        <f t="shared" ca="1" si="2"/>
        <v>-0.47072293769665663</v>
      </c>
    </row>
    <row r="44" spans="2:7" x14ac:dyDescent="0.25">
      <c r="B44" s="22">
        <v>39</v>
      </c>
      <c r="C44" s="4">
        <f t="shared" ca="1" si="6"/>
        <v>8.6674509102556918E-2</v>
      </c>
      <c r="D44" s="5">
        <f t="shared" ca="1" si="6"/>
        <v>-9.9527263206324657E-2</v>
      </c>
      <c r="E44">
        <f t="shared" ca="1" si="4"/>
        <v>1</v>
      </c>
      <c r="F44" s="4">
        <f t="shared" ca="1" si="1"/>
        <v>8.6674509102556918E-2</v>
      </c>
      <c r="G44" s="5">
        <f t="shared" ca="1" si="2"/>
        <v>-9.9527263206324657E-2</v>
      </c>
    </row>
    <row r="45" spans="2:7" x14ac:dyDescent="0.25">
      <c r="B45" s="22">
        <v>40</v>
      </c>
      <c r="C45" s="4">
        <f t="shared" ca="1" si="6"/>
        <v>0.39812241632977785</v>
      </c>
      <c r="D45" s="5">
        <f t="shared" ca="1" si="6"/>
        <v>-0.74069111032026158</v>
      </c>
      <c r="E45">
        <f t="shared" ca="1" si="4"/>
        <v>1</v>
      </c>
      <c r="F45" s="4">
        <f t="shared" ca="1" si="1"/>
        <v>0.39812241632977785</v>
      </c>
      <c r="G45" s="5">
        <f t="shared" ca="1" si="2"/>
        <v>-0.74069111032026158</v>
      </c>
    </row>
    <row r="46" spans="2:7" x14ac:dyDescent="0.25">
      <c r="B46" s="22">
        <v>41</v>
      </c>
      <c r="C46" s="4">
        <f t="shared" ca="1" si="6"/>
        <v>0.66231740922055393</v>
      </c>
      <c r="D46" s="5">
        <f t="shared" ca="1" si="6"/>
        <v>0.3324830248535926</v>
      </c>
      <c r="E46">
        <f t="shared" ca="1" si="4"/>
        <v>1</v>
      </c>
      <c r="F46" s="4">
        <f t="shared" ca="1" si="1"/>
        <v>0.66231740922055393</v>
      </c>
      <c r="G46" s="5">
        <f t="shared" ca="1" si="2"/>
        <v>0.3324830248535926</v>
      </c>
    </row>
    <row r="47" spans="2:7" x14ac:dyDescent="0.25">
      <c r="B47" s="22">
        <v>42</v>
      </c>
      <c r="C47" s="4">
        <f t="shared" ca="1" si="6"/>
        <v>3.7425264583599738E-2</v>
      </c>
      <c r="D47" s="5">
        <f t="shared" ca="1" si="6"/>
        <v>1.6541163180231466E-2</v>
      </c>
      <c r="E47">
        <f t="shared" ca="1" si="4"/>
        <v>1</v>
      </c>
      <c r="F47" s="4">
        <f t="shared" ca="1" si="1"/>
        <v>3.7425264583599738E-2</v>
      </c>
      <c r="G47" s="5">
        <f t="shared" ca="1" si="2"/>
        <v>1.6541163180231466E-2</v>
      </c>
    </row>
    <row r="48" spans="2:7" x14ac:dyDescent="0.25">
      <c r="B48" s="22">
        <v>43</v>
      </c>
      <c r="C48" s="4">
        <f t="shared" ca="1" si="6"/>
        <v>-0.75783101957383869</v>
      </c>
      <c r="D48" s="5">
        <f t="shared" ca="1" si="6"/>
        <v>0.88317206593164688</v>
      </c>
      <c r="E48">
        <f t="shared" ca="1" si="4"/>
        <v>0</v>
      </c>
      <c r="F48" s="4">
        <f t="shared" ca="1" si="1"/>
        <v>0</v>
      </c>
      <c r="G48" s="5">
        <f t="shared" ca="1" si="2"/>
        <v>0</v>
      </c>
    </row>
    <row r="49" spans="2:7" x14ac:dyDescent="0.25">
      <c r="B49" s="22">
        <v>44</v>
      </c>
      <c r="C49" s="4">
        <f t="shared" ca="1" si="6"/>
        <v>-0.87781490445431332</v>
      </c>
      <c r="D49" s="5">
        <f t="shared" ca="1" si="6"/>
        <v>0.45947456828453559</v>
      </c>
      <c r="E49">
        <f t="shared" ca="1" si="4"/>
        <v>1</v>
      </c>
      <c r="F49" s="4">
        <f t="shared" ca="1" si="1"/>
        <v>-0.87781490445431332</v>
      </c>
      <c r="G49" s="5">
        <f t="shared" ca="1" si="2"/>
        <v>0.45947456828453559</v>
      </c>
    </row>
    <row r="50" spans="2:7" x14ac:dyDescent="0.25">
      <c r="B50" s="22">
        <v>45</v>
      </c>
      <c r="C50" s="4">
        <f t="shared" ca="1" si="6"/>
        <v>0.84336992561453528</v>
      </c>
      <c r="D50" s="5">
        <f t="shared" ca="1" si="6"/>
        <v>-0.36220426130262662</v>
      </c>
      <c r="E50">
        <f t="shared" ca="1" si="4"/>
        <v>1</v>
      </c>
      <c r="F50" s="4">
        <f t="shared" ca="1" si="1"/>
        <v>0.84336992561453528</v>
      </c>
      <c r="G50" s="5">
        <f t="shared" ca="1" si="2"/>
        <v>-0.36220426130262662</v>
      </c>
    </row>
    <row r="51" spans="2:7" x14ac:dyDescent="0.25">
      <c r="B51" s="22">
        <v>46</v>
      </c>
      <c r="C51" s="4">
        <f t="shared" ca="1" si="6"/>
        <v>0.17566559960545036</v>
      </c>
      <c r="D51" s="5">
        <f t="shared" ca="1" si="6"/>
        <v>-6.3636147978757274E-2</v>
      </c>
      <c r="E51">
        <f t="shared" ca="1" si="4"/>
        <v>1</v>
      </c>
      <c r="F51" s="4">
        <f t="shared" ca="1" si="1"/>
        <v>0.17566559960545036</v>
      </c>
      <c r="G51" s="5">
        <f t="shared" ca="1" si="2"/>
        <v>-6.3636147978757274E-2</v>
      </c>
    </row>
    <row r="52" spans="2:7" x14ac:dyDescent="0.25">
      <c r="B52" s="22">
        <v>47</v>
      </c>
      <c r="C52" s="4">
        <f t="shared" ca="1" si="6"/>
        <v>-0.72690255453986374</v>
      </c>
      <c r="D52" s="5">
        <f t="shared" ca="1" si="6"/>
        <v>6.13478668701124E-2</v>
      </c>
      <c r="E52">
        <f t="shared" ca="1" si="4"/>
        <v>1</v>
      </c>
      <c r="F52" s="4">
        <f t="shared" ca="1" si="1"/>
        <v>-0.72690255453986374</v>
      </c>
      <c r="G52" s="5">
        <f t="shared" ca="1" si="2"/>
        <v>6.13478668701124E-2</v>
      </c>
    </row>
    <row r="53" spans="2:7" x14ac:dyDescent="0.25">
      <c r="B53" s="22">
        <v>48</v>
      </c>
      <c r="C53" s="4">
        <f t="shared" ca="1" si="6"/>
        <v>0.72615685444236022</v>
      </c>
      <c r="D53" s="5">
        <f t="shared" ca="1" si="6"/>
        <v>8.6248568917849378E-2</v>
      </c>
      <c r="E53">
        <f t="shared" ca="1" si="4"/>
        <v>1</v>
      </c>
      <c r="F53" s="4">
        <f t="shared" ca="1" si="1"/>
        <v>0.72615685444236022</v>
      </c>
      <c r="G53" s="5">
        <f t="shared" ca="1" si="2"/>
        <v>8.6248568917849378E-2</v>
      </c>
    </row>
    <row r="54" spans="2:7" x14ac:dyDescent="0.25">
      <c r="B54" s="22">
        <v>49</v>
      </c>
      <c r="C54" s="4">
        <f t="shared" ca="1" si="6"/>
        <v>-5.2513634767059614E-3</v>
      </c>
      <c r="D54" s="5">
        <f t="shared" ca="1" si="6"/>
        <v>0.10009729446044302</v>
      </c>
      <c r="E54">
        <f t="shared" ca="1" si="4"/>
        <v>1</v>
      </c>
      <c r="F54" s="4">
        <f t="shared" ca="1" si="1"/>
        <v>-5.2513634767059614E-3</v>
      </c>
      <c r="G54" s="5">
        <f t="shared" ca="1" si="2"/>
        <v>0.10009729446044302</v>
      </c>
    </row>
    <row r="55" spans="2:7" x14ac:dyDescent="0.25">
      <c r="B55" s="22">
        <v>50</v>
      </c>
      <c r="C55" s="4">
        <f t="shared" ca="1" si="6"/>
        <v>0.40661042054769481</v>
      </c>
      <c r="D55" s="5">
        <f t="shared" ca="1" si="6"/>
        <v>-0.5551936021671704</v>
      </c>
      <c r="E55">
        <f t="shared" ca="1" si="4"/>
        <v>1</v>
      </c>
      <c r="F55" s="4">
        <f t="shared" ca="1" si="1"/>
        <v>0.40661042054769481</v>
      </c>
      <c r="G55" s="5">
        <f t="shared" ca="1" si="2"/>
        <v>-0.5551936021671704</v>
      </c>
    </row>
    <row r="56" spans="2:7" x14ac:dyDescent="0.25">
      <c r="B56" s="22">
        <v>51</v>
      </c>
      <c r="C56" s="4">
        <f t="shared" ca="1" si="6"/>
        <v>0.68972869784085522</v>
      </c>
      <c r="D56" s="5">
        <f t="shared" ca="1" si="6"/>
        <v>-0.171276773837443</v>
      </c>
      <c r="E56">
        <f t="shared" ca="1" si="4"/>
        <v>1</v>
      </c>
      <c r="F56" s="4">
        <f t="shared" ca="1" si="1"/>
        <v>0.68972869784085522</v>
      </c>
      <c r="G56" s="5">
        <f t="shared" ca="1" si="2"/>
        <v>-0.171276773837443</v>
      </c>
    </row>
    <row r="57" spans="2:7" x14ac:dyDescent="0.25">
      <c r="B57" s="22">
        <v>52</v>
      </c>
      <c r="C57" s="4">
        <f t="shared" ca="1" si="6"/>
        <v>0.95686619120545502</v>
      </c>
      <c r="D57" s="5">
        <f t="shared" ca="1" si="6"/>
        <v>-0.12439050497446513</v>
      </c>
      <c r="E57">
        <f t="shared" ca="1" si="4"/>
        <v>1</v>
      </c>
      <c r="F57" s="4">
        <f t="shared" ca="1" si="1"/>
        <v>0.95686619120545502</v>
      </c>
      <c r="G57" s="5">
        <f t="shared" ca="1" si="2"/>
        <v>-0.12439050497446513</v>
      </c>
    </row>
    <row r="58" spans="2:7" x14ac:dyDescent="0.25">
      <c r="B58" s="22">
        <v>53</v>
      </c>
      <c r="C58" s="4">
        <f t="shared" ca="1" si="6"/>
        <v>0.78984293391811566</v>
      </c>
      <c r="D58" s="5">
        <f t="shared" ca="1" si="6"/>
        <v>0.56079779517200468</v>
      </c>
      <c r="E58">
        <f t="shared" ca="1" si="4"/>
        <v>1</v>
      </c>
      <c r="F58" s="4">
        <f t="shared" ca="1" si="1"/>
        <v>0.78984293391811566</v>
      </c>
      <c r="G58" s="5">
        <f t="shared" ca="1" si="2"/>
        <v>0.56079779517200468</v>
      </c>
    </row>
    <row r="59" spans="2:7" x14ac:dyDescent="0.25">
      <c r="B59" s="22">
        <v>54</v>
      </c>
      <c r="C59" s="4">
        <f t="shared" ca="1" si="6"/>
        <v>-0.87754506390582798</v>
      </c>
      <c r="D59" s="5">
        <f t="shared" ca="1" si="6"/>
        <v>0.66728233768909528</v>
      </c>
      <c r="E59">
        <f t="shared" ca="1" si="4"/>
        <v>0</v>
      </c>
      <c r="F59" s="4">
        <f t="shared" ca="1" si="1"/>
        <v>0</v>
      </c>
      <c r="G59" s="5">
        <f t="shared" ca="1" si="2"/>
        <v>0</v>
      </c>
    </row>
    <row r="60" spans="2:7" x14ac:dyDescent="0.25">
      <c r="B60" s="22">
        <v>55</v>
      </c>
      <c r="C60" s="4">
        <f t="shared" ca="1" si="6"/>
        <v>-8.5657563037823348E-2</v>
      </c>
      <c r="D60" s="5">
        <f t="shared" ca="1" si="6"/>
        <v>0.41882933721476889</v>
      </c>
      <c r="E60">
        <f t="shared" ca="1" si="4"/>
        <v>1</v>
      </c>
      <c r="F60" s="4">
        <f t="shared" ca="1" si="1"/>
        <v>-8.5657563037823348E-2</v>
      </c>
      <c r="G60" s="5">
        <f t="shared" ca="1" si="2"/>
        <v>0.41882933721476889</v>
      </c>
    </row>
    <row r="61" spans="2:7" x14ac:dyDescent="0.25">
      <c r="B61" s="22">
        <v>56</v>
      </c>
      <c r="C61" s="4">
        <f t="shared" ca="1" si="6"/>
        <v>-0.20788729705399267</v>
      </c>
      <c r="D61" s="5">
        <f t="shared" ca="1" si="6"/>
        <v>-0.62930047310775428</v>
      </c>
      <c r="E61">
        <f t="shared" ca="1" si="4"/>
        <v>1</v>
      </c>
      <c r="F61" s="4">
        <f t="shared" ca="1" si="1"/>
        <v>-0.20788729705399267</v>
      </c>
      <c r="G61" s="5">
        <f t="shared" ca="1" si="2"/>
        <v>-0.62930047310775428</v>
      </c>
    </row>
    <row r="62" spans="2:7" x14ac:dyDescent="0.25">
      <c r="B62" s="22">
        <v>57</v>
      </c>
      <c r="C62" s="4">
        <f t="shared" ca="1" si="6"/>
        <v>-6.940975836333596E-2</v>
      </c>
      <c r="D62" s="5">
        <f t="shared" ca="1" si="6"/>
        <v>1.498842957258395E-2</v>
      </c>
      <c r="E62">
        <f t="shared" ca="1" si="4"/>
        <v>1</v>
      </c>
      <c r="F62" s="4">
        <f t="shared" ca="1" si="1"/>
        <v>-6.940975836333596E-2</v>
      </c>
      <c r="G62" s="5">
        <f t="shared" ca="1" si="2"/>
        <v>1.498842957258395E-2</v>
      </c>
    </row>
    <row r="63" spans="2:7" x14ac:dyDescent="0.25">
      <c r="B63" s="22">
        <v>58</v>
      </c>
      <c r="C63" s="4">
        <f t="shared" ca="1" si="6"/>
        <v>-0.47743678889735031</v>
      </c>
      <c r="D63" s="5">
        <f t="shared" ca="1" si="6"/>
        <v>-0.47875577400360414</v>
      </c>
      <c r="E63">
        <f t="shared" ca="1" si="4"/>
        <v>1</v>
      </c>
      <c r="F63" s="4">
        <f t="shared" ca="1" si="1"/>
        <v>-0.47743678889735031</v>
      </c>
      <c r="G63" s="5">
        <f t="shared" ca="1" si="2"/>
        <v>-0.47875577400360414</v>
      </c>
    </row>
    <row r="64" spans="2:7" x14ac:dyDescent="0.25">
      <c r="B64" s="22">
        <v>59</v>
      </c>
      <c r="C64" s="4">
        <f t="shared" ca="1" si="6"/>
        <v>-9.9662186410793829E-2</v>
      </c>
      <c r="D64" s="5">
        <f t="shared" ca="1" si="6"/>
        <v>0.26068944275833572</v>
      </c>
      <c r="E64">
        <f t="shared" ca="1" si="4"/>
        <v>1</v>
      </c>
      <c r="F64" s="4">
        <f t="shared" ca="1" si="1"/>
        <v>-9.9662186410793829E-2</v>
      </c>
      <c r="G64" s="5">
        <f t="shared" ca="1" si="2"/>
        <v>0.26068944275833572</v>
      </c>
    </row>
    <row r="65" spans="2:7" x14ac:dyDescent="0.25">
      <c r="B65" s="22">
        <v>60</v>
      </c>
      <c r="C65" s="4">
        <f t="shared" ca="1" si="6"/>
        <v>-0.28554816542227268</v>
      </c>
      <c r="D65" s="5">
        <f t="shared" ca="1" si="6"/>
        <v>-0.99765445748220483</v>
      </c>
      <c r="E65">
        <f t="shared" ca="1" si="4"/>
        <v>0</v>
      </c>
      <c r="F65" s="4">
        <f t="shared" ca="1" si="1"/>
        <v>0</v>
      </c>
      <c r="G65" s="5">
        <f t="shared" ca="1" si="2"/>
        <v>0</v>
      </c>
    </row>
    <row r="66" spans="2:7" x14ac:dyDescent="0.25">
      <c r="B66" s="22">
        <v>61</v>
      </c>
      <c r="C66" s="4">
        <f t="shared" ca="1" si="6"/>
        <v>0.97271278679053741</v>
      </c>
      <c r="D66" s="5">
        <f t="shared" ca="1" si="6"/>
        <v>-0.88418505722429797</v>
      </c>
      <c r="E66">
        <f t="shared" ca="1" si="4"/>
        <v>0</v>
      </c>
      <c r="F66" s="4">
        <f t="shared" ca="1" si="1"/>
        <v>0</v>
      </c>
      <c r="G66" s="5">
        <f t="shared" ca="1" si="2"/>
        <v>0</v>
      </c>
    </row>
    <row r="67" spans="2:7" x14ac:dyDescent="0.25">
      <c r="B67" s="22">
        <v>62</v>
      </c>
      <c r="C67" s="4">
        <f t="shared" ca="1" si="6"/>
        <v>-6.938309103491247E-2</v>
      </c>
      <c r="D67" s="5">
        <f t="shared" ca="1" si="6"/>
        <v>0.3515160390074723</v>
      </c>
      <c r="E67">
        <f t="shared" ca="1" si="4"/>
        <v>1</v>
      </c>
      <c r="F67" s="4">
        <f t="shared" ca="1" si="1"/>
        <v>-6.938309103491247E-2</v>
      </c>
      <c r="G67" s="5">
        <f t="shared" ca="1" si="2"/>
        <v>0.3515160390074723</v>
      </c>
    </row>
    <row r="68" spans="2:7" x14ac:dyDescent="0.25">
      <c r="B68" s="22">
        <v>63</v>
      </c>
      <c r="C68" s="4">
        <f t="shared" ca="1" si="6"/>
        <v>-0.24435153894438999</v>
      </c>
      <c r="D68" s="5">
        <f t="shared" ca="1" si="6"/>
        <v>0.97333999429505269</v>
      </c>
      <c r="E68">
        <f t="shared" ca="1" si="4"/>
        <v>0</v>
      </c>
      <c r="F68" s="4">
        <f t="shared" ca="1" si="1"/>
        <v>0</v>
      </c>
      <c r="G68" s="5">
        <f t="shared" ca="1" si="2"/>
        <v>0</v>
      </c>
    </row>
    <row r="69" spans="2:7" x14ac:dyDescent="0.25">
      <c r="B69" s="22">
        <v>64</v>
      </c>
      <c r="C69" s="4">
        <f t="shared" ca="1" si="6"/>
        <v>0.2960470640436963</v>
      </c>
      <c r="D69" s="5">
        <f t="shared" ca="1" si="6"/>
        <v>0.52525362283579735</v>
      </c>
      <c r="E69">
        <f t="shared" ca="1" si="4"/>
        <v>1</v>
      </c>
      <c r="F69" s="4">
        <f t="shared" ca="1" si="1"/>
        <v>0.2960470640436963</v>
      </c>
      <c r="G69" s="5">
        <f t="shared" ca="1" si="2"/>
        <v>0.52525362283579735</v>
      </c>
    </row>
    <row r="70" spans="2:7" x14ac:dyDescent="0.25">
      <c r="B70" s="22">
        <v>65</v>
      </c>
      <c r="C70" s="4">
        <f t="shared" ca="1" si="6"/>
        <v>-0.34640190414197591</v>
      </c>
      <c r="D70" s="5">
        <f t="shared" ca="1" si="6"/>
        <v>-0.56035128323818006</v>
      </c>
      <c r="E70">
        <f t="shared" ca="1" si="4"/>
        <v>1</v>
      </c>
      <c r="F70" s="4">
        <f t="shared" ref="F70:F133" ca="1" si="7">IF((C70^2+D70^2)&lt;1, C70, 0)</f>
        <v>-0.34640190414197591</v>
      </c>
      <c r="G70" s="5">
        <f t="shared" ref="G70:G133" ca="1" si="8">IF((C70^2+D70^2)&lt;1, D70, 0)</f>
        <v>-0.56035128323818006</v>
      </c>
    </row>
    <row r="71" spans="2:7" x14ac:dyDescent="0.25">
      <c r="B71" s="22">
        <v>66</v>
      </c>
      <c r="C71" s="4">
        <f t="shared" ca="1" si="6"/>
        <v>-0.25470011114537394</v>
      </c>
      <c r="D71" s="5">
        <f t="shared" ca="1" si="6"/>
        <v>0.23546385890616883</v>
      </c>
      <c r="E71">
        <f t="shared" ref="E71:E134" ca="1" si="9">IF(C71^2+D71^2&lt;1, 1, 0)</f>
        <v>1</v>
      </c>
      <c r="F71" s="4">
        <f t="shared" ca="1" si="7"/>
        <v>-0.25470011114537394</v>
      </c>
      <c r="G71" s="5">
        <f t="shared" ca="1" si="8"/>
        <v>0.23546385890616883</v>
      </c>
    </row>
    <row r="72" spans="2:7" x14ac:dyDescent="0.25">
      <c r="B72" s="22">
        <v>67</v>
      </c>
      <c r="C72" s="4">
        <f t="shared" ca="1" si="6"/>
        <v>-0.99838104558040675</v>
      </c>
      <c r="D72" s="5">
        <f t="shared" ca="1" si="6"/>
        <v>0.69528238332679893</v>
      </c>
      <c r="E72">
        <f t="shared" ca="1" si="9"/>
        <v>0</v>
      </c>
      <c r="F72" s="4">
        <f t="shared" ca="1" si="7"/>
        <v>0</v>
      </c>
      <c r="G72" s="5">
        <f t="shared" ca="1" si="8"/>
        <v>0</v>
      </c>
    </row>
    <row r="73" spans="2:7" x14ac:dyDescent="0.25">
      <c r="B73" s="22">
        <v>68</v>
      </c>
      <c r="C73" s="4">
        <f t="shared" ca="1" si="6"/>
        <v>0.2358623863733309</v>
      </c>
      <c r="D73" s="5">
        <f t="shared" ca="1" si="6"/>
        <v>-0.43357150935871935</v>
      </c>
      <c r="E73">
        <f t="shared" ca="1" si="9"/>
        <v>1</v>
      </c>
      <c r="F73" s="4">
        <f t="shared" ca="1" si="7"/>
        <v>0.2358623863733309</v>
      </c>
      <c r="G73" s="5">
        <f t="shared" ca="1" si="8"/>
        <v>-0.43357150935871935</v>
      </c>
    </row>
    <row r="74" spans="2:7" x14ac:dyDescent="0.25">
      <c r="B74" s="22">
        <v>69</v>
      </c>
      <c r="C74" s="4">
        <f t="shared" ca="1" si="6"/>
        <v>0.88750122419487187</v>
      </c>
      <c r="D74" s="5">
        <f t="shared" ca="1" si="6"/>
        <v>0.29571496226171035</v>
      </c>
      <c r="E74">
        <f t="shared" ca="1" si="9"/>
        <v>1</v>
      </c>
      <c r="F74" s="4">
        <f t="shared" ca="1" si="7"/>
        <v>0.88750122419487187</v>
      </c>
      <c r="G74" s="5">
        <f t="shared" ca="1" si="8"/>
        <v>0.29571496226171035</v>
      </c>
    </row>
    <row r="75" spans="2:7" x14ac:dyDescent="0.25">
      <c r="B75" s="22">
        <v>70</v>
      </c>
      <c r="C75" s="4">
        <f t="shared" ca="1" si="6"/>
        <v>0.85348364542249722</v>
      </c>
      <c r="D75" s="5">
        <f t="shared" ca="1" si="6"/>
        <v>-0.55082679098831555</v>
      </c>
      <c r="E75">
        <f t="shared" ca="1" si="9"/>
        <v>0</v>
      </c>
      <c r="F75" s="4">
        <f t="shared" ca="1" si="7"/>
        <v>0</v>
      </c>
      <c r="G75" s="5">
        <f t="shared" ca="1" si="8"/>
        <v>0</v>
      </c>
    </row>
    <row r="76" spans="2:7" x14ac:dyDescent="0.25">
      <c r="B76" s="22">
        <v>71</v>
      </c>
      <c r="C76" s="4">
        <f t="shared" ca="1" si="6"/>
        <v>0.57794303627225729</v>
      </c>
      <c r="D76" s="5">
        <f t="shared" ca="1" si="6"/>
        <v>0.67016487797454438</v>
      </c>
      <c r="E76">
        <f t="shared" ca="1" si="9"/>
        <v>1</v>
      </c>
      <c r="F76" s="4">
        <f t="shared" ca="1" si="7"/>
        <v>0.57794303627225729</v>
      </c>
      <c r="G76" s="5">
        <f t="shared" ca="1" si="8"/>
        <v>0.67016487797454438</v>
      </c>
    </row>
    <row r="77" spans="2:7" x14ac:dyDescent="0.25">
      <c r="B77" s="22">
        <v>72</v>
      </c>
      <c r="C77" s="4">
        <f t="shared" ca="1" si="6"/>
        <v>-0.70311567799572439</v>
      </c>
      <c r="D77" s="5">
        <f t="shared" ca="1" si="6"/>
        <v>-0.54504428884752398</v>
      </c>
      <c r="E77">
        <f t="shared" ca="1" si="9"/>
        <v>1</v>
      </c>
      <c r="F77" s="4">
        <f t="shared" ca="1" si="7"/>
        <v>-0.70311567799572439</v>
      </c>
      <c r="G77" s="5">
        <f t="shared" ca="1" si="8"/>
        <v>-0.54504428884752398</v>
      </c>
    </row>
    <row r="78" spans="2:7" x14ac:dyDescent="0.25">
      <c r="B78" s="22">
        <v>73</v>
      </c>
      <c r="C78" s="4">
        <f t="shared" ca="1" si="6"/>
        <v>0.45442622588802606</v>
      </c>
      <c r="D78" s="5">
        <f t="shared" ca="1" si="6"/>
        <v>0.46350021926809615</v>
      </c>
      <c r="E78">
        <f t="shared" ca="1" si="9"/>
        <v>1</v>
      </c>
      <c r="F78" s="4">
        <f t="shared" ca="1" si="7"/>
        <v>0.45442622588802606</v>
      </c>
      <c r="G78" s="5">
        <f t="shared" ca="1" si="8"/>
        <v>0.46350021926809615</v>
      </c>
    </row>
    <row r="79" spans="2:7" x14ac:dyDescent="0.25">
      <c r="B79" s="22">
        <v>74</v>
      </c>
      <c r="C79" s="4">
        <f t="shared" ca="1" si="6"/>
        <v>0.38281518547636328</v>
      </c>
      <c r="D79" s="5">
        <f t="shared" ca="1" si="6"/>
        <v>-0.614468799409841</v>
      </c>
      <c r="E79">
        <f t="shared" ca="1" si="9"/>
        <v>1</v>
      </c>
      <c r="F79" s="4">
        <f t="shared" ca="1" si="7"/>
        <v>0.38281518547636328</v>
      </c>
      <c r="G79" s="5">
        <f t="shared" ca="1" si="8"/>
        <v>-0.614468799409841</v>
      </c>
    </row>
    <row r="80" spans="2:7" x14ac:dyDescent="0.25">
      <c r="B80" s="22">
        <v>75</v>
      </c>
      <c r="C80" s="4">
        <f t="shared" ca="1" si="6"/>
        <v>0.36223105358009633</v>
      </c>
      <c r="D80" s="5">
        <f t="shared" ca="1" si="6"/>
        <v>-0.8888155286796493</v>
      </c>
      <c r="E80">
        <f t="shared" ca="1" si="9"/>
        <v>1</v>
      </c>
      <c r="F80" s="4">
        <f t="shared" ca="1" si="7"/>
        <v>0.36223105358009633</v>
      </c>
      <c r="G80" s="5">
        <f t="shared" ca="1" si="8"/>
        <v>-0.8888155286796493</v>
      </c>
    </row>
    <row r="81" spans="2:7" x14ac:dyDescent="0.25">
      <c r="B81" s="22">
        <v>76</v>
      </c>
      <c r="C81" s="4">
        <f t="shared" ca="1" si="6"/>
        <v>7.7727004244351638E-2</v>
      </c>
      <c r="D81" s="5">
        <f t="shared" ca="1" si="6"/>
        <v>-0.34554397878092802</v>
      </c>
      <c r="E81">
        <f t="shared" ca="1" si="9"/>
        <v>1</v>
      </c>
      <c r="F81" s="4">
        <f t="shared" ca="1" si="7"/>
        <v>7.7727004244351638E-2</v>
      </c>
      <c r="G81" s="5">
        <f t="shared" ca="1" si="8"/>
        <v>-0.34554397878092802</v>
      </c>
    </row>
    <row r="82" spans="2:7" x14ac:dyDescent="0.25">
      <c r="B82" s="22">
        <v>77</v>
      </c>
      <c r="C82" s="4">
        <f t="shared" ca="1" si="6"/>
        <v>0.18508382320181749</v>
      </c>
      <c r="D82" s="5">
        <f t="shared" ca="1" si="6"/>
        <v>0.63727103967348686</v>
      </c>
      <c r="E82">
        <f t="shared" ca="1" si="9"/>
        <v>1</v>
      </c>
      <c r="F82" s="4">
        <f t="shared" ca="1" si="7"/>
        <v>0.18508382320181749</v>
      </c>
      <c r="G82" s="5">
        <f t="shared" ca="1" si="8"/>
        <v>0.63727103967348686</v>
      </c>
    </row>
    <row r="83" spans="2:7" x14ac:dyDescent="0.25">
      <c r="B83" s="22">
        <v>78</v>
      </c>
      <c r="C83" s="4">
        <f t="shared" ca="1" si="6"/>
        <v>-0.66071627188408799</v>
      </c>
      <c r="D83" s="5">
        <f t="shared" ca="1" si="6"/>
        <v>0.55111437880137792</v>
      </c>
      <c r="E83">
        <f t="shared" ca="1" si="9"/>
        <v>1</v>
      </c>
      <c r="F83" s="4">
        <f t="shared" ca="1" si="7"/>
        <v>-0.66071627188408799</v>
      </c>
      <c r="G83" s="5">
        <f t="shared" ca="1" si="8"/>
        <v>0.55111437880137792</v>
      </c>
    </row>
    <row r="84" spans="2:7" x14ac:dyDescent="0.25">
      <c r="B84" s="22">
        <v>79</v>
      </c>
      <c r="C84" s="4">
        <f t="shared" ca="1" si="6"/>
        <v>0.28706266955841686</v>
      </c>
      <c r="D84" s="5">
        <f t="shared" ca="1" si="6"/>
        <v>-0.32842605104975187</v>
      </c>
      <c r="E84">
        <f t="shared" ca="1" si="9"/>
        <v>1</v>
      </c>
      <c r="F84" s="4">
        <f t="shared" ca="1" si="7"/>
        <v>0.28706266955841686</v>
      </c>
      <c r="G84" s="5">
        <f t="shared" ca="1" si="8"/>
        <v>-0.32842605104975187</v>
      </c>
    </row>
    <row r="85" spans="2:7" x14ac:dyDescent="0.25">
      <c r="B85" s="22">
        <v>80</v>
      </c>
      <c r="C85" s="4">
        <f t="shared" ca="1" si="6"/>
        <v>-0.5465404777616123</v>
      </c>
      <c r="D85" s="5">
        <f t="shared" ca="1" si="6"/>
        <v>7.3679185463475516E-2</v>
      </c>
      <c r="E85">
        <f t="shared" ca="1" si="9"/>
        <v>1</v>
      </c>
      <c r="F85" s="4">
        <f t="shared" ca="1" si="7"/>
        <v>-0.5465404777616123</v>
      </c>
      <c r="G85" s="5">
        <f t="shared" ca="1" si="8"/>
        <v>7.3679185463475516E-2</v>
      </c>
    </row>
    <row r="86" spans="2:7" x14ac:dyDescent="0.25">
      <c r="B86" s="22">
        <v>81</v>
      </c>
      <c r="C86" s="4">
        <f t="shared" ca="1" si="6"/>
        <v>-0.427277187137866</v>
      </c>
      <c r="D86" s="5">
        <f t="shared" ca="1" si="6"/>
        <v>0.93944558108859444</v>
      </c>
      <c r="E86">
        <f t="shared" ca="1" si="9"/>
        <v>0</v>
      </c>
      <c r="F86" s="4">
        <f t="shared" ca="1" si="7"/>
        <v>0</v>
      </c>
      <c r="G86" s="5">
        <f t="shared" ca="1" si="8"/>
        <v>0</v>
      </c>
    </row>
    <row r="87" spans="2:7" x14ac:dyDescent="0.25">
      <c r="B87" s="22">
        <v>82</v>
      </c>
      <c r="C87" s="4">
        <f t="shared" ref="C87:D150" ca="1" si="10">1-2*RAND()</f>
        <v>0.27317102960007933</v>
      </c>
      <c r="D87" s="5">
        <f t="shared" ca="1" si="10"/>
        <v>0.54075444719046017</v>
      </c>
      <c r="E87">
        <f t="shared" ca="1" si="9"/>
        <v>1</v>
      </c>
      <c r="F87" s="4">
        <f t="shared" ca="1" si="7"/>
        <v>0.27317102960007933</v>
      </c>
      <c r="G87" s="5">
        <f t="shared" ca="1" si="8"/>
        <v>0.54075444719046017</v>
      </c>
    </row>
    <row r="88" spans="2:7" x14ac:dyDescent="0.25">
      <c r="B88" s="22">
        <v>83</v>
      </c>
      <c r="C88" s="4">
        <f t="shared" ca="1" si="10"/>
        <v>9.2479277076918054E-2</v>
      </c>
      <c r="D88" s="5">
        <f t="shared" ca="1" si="10"/>
        <v>-0.54212974852337159</v>
      </c>
      <c r="E88">
        <f t="shared" ca="1" si="9"/>
        <v>1</v>
      </c>
      <c r="F88" s="4">
        <f t="shared" ca="1" si="7"/>
        <v>9.2479277076918054E-2</v>
      </c>
      <c r="G88" s="5">
        <f t="shared" ca="1" si="8"/>
        <v>-0.54212974852337159</v>
      </c>
    </row>
    <row r="89" spans="2:7" x14ac:dyDescent="0.25">
      <c r="B89" s="22">
        <v>84</v>
      </c>
      <c r="C89" s="4">
        <f t="shared" ca="1" si="10"/>
        <v>0.13942845285293859</v>
      </c>
      <c r="D89" s="5">
        <f t="shared" ca="1" si="10"/>
        <v>-0.84033783568222797</v>
      </c>
      <c r="E89">
        <f t="shared" ca="1" si="9"/>
        <v>1</v>
      </c>
      <c r="F89" s="4">
        <f t="shared" ca="1" si="7"/>
        <v>0.13942845285293859</v>
      </c>
      <c r="G89" s="5">
        <f t="shared" ca="1" si="8"/>
        <v>-0.84033783568222797</v>
      </c>
    </row>
    <row r="90" spans="2:7" x14ac:dyDescent="0.25">
      <c r="B90" s="22">
        <v>85</v>
      </c>
      <c r="C90" s="4">
        <f t="shared" ca="1" si="10"/>
        <v>-0.38219692997006938</v>
      </c>
      <c r="D90" s="5">
        <f t="shared" ca="1" si="10"/>
        <v>-0.9223905302475206</v>
      </c>
      <c r="E90">
        <f t="shared" ca="1" si="9"/>
        <v>1</v>
      </c>
      <c r="F90" s="4">
        <f t="shared" ca="1" si="7"/>
        <v>-0.38219692997006938</v>
      </c>
      <c r="G90" s="5">
        <f t="shared" ca="1" si="8"/>
        <v>-0.9223905302475206</v>
      </c>
    </row>
    <row r="91" spans="2:7" x14ac:dyDescent="0.25">
      <c r="B91" s="22">
        <v>86</v>
      </c>
      <c r="C91" s="4">
        <f t="shared" ca="1" si="10"/>
        <v>0.65465450538945613</v>
      </c>
      <c r="D91" s="5">
        <f t="shared" ca="1" si="10"/>
        <v>-0.69706353594084014</v>
      </c>
      <c r="E91">
        <f t="shared" ca="1" si="9"/>
        <v>1</v>
      </c>
      <c r="F91" s="4">
        <f t="shared" ca="1" si="7"/>
        <v>0.65465450538945613</v>
      </c>
      <c r="G91" s="5">
        <f t="shared" ca="1" si="8"/>
        <v>-0.69706353594084014</v>
      </c>
    </row>
    <row r="92" spans="2:7" x14ac:dyDescent="0.25">
      <c r="B92" s="22">
        <v>87</v>
      </c>
      <c r="C92" s="4">
        <f t="shared" ca="1" si="10"/>
        <v>-0.53370833926990646</v>
      </c>
      <c r="D92" s="5">
        <f t="shared" ca="1" si="10"/>
        <v>0.64536344465554896</v>
      </c>
      <c r="E92">
        <f t="shared" ca="1" si="9"/>
        <v>1</v>
      </c>
      <c r="F92" s="4">
        <f t="shared" ca="1" si="7"/>
        <v>-0.53370833926990646</v>
      </c>
      <c r="G92" s="5">
        <f t="shared" ca="1" si="8"/>
        <v>0.64536344465554896</v>
      </c>
    </row>
    <row r="93" spans="2:7" x14ac:dyDescent="0.25">
      <c r="B93" s="22">
        <v>88</v>
      </c>
      <c r="C93" s="4">
        <f t="shared" ca="1" si="10"/>
        <v>-0.89890919331875496</v>
      </c>
      <c r="D93" s="5">
        <f t="shared" ca="1" si="10"/>
        <v>-0.94695078764002383</v>
      </c>
      <c r="E93">
        <f t="shared" ca="1" si="9"/>
        <v>0</v>
      </c>
      <c r="F93" s="4">
        <f t="shared" ca="1" si="7"/>
        <v>0</v>
      </c>
      <c r="G93" s="5">
        <f t="shared" ca="1" si="8"/>
        <v>0</v>
      </c>
    </row>
    <row r="94" spans="2:7" x14ac:dyDescent="0.25">
      <c r="B94" s="22">
        <v>89</v>
      </c>
      <c r="C94" s="4">
        <f t="shared" ca="1" si="10"/>
        <v>0.47743965121161946</v>
      </c>
      <c r="D94" s="5">
        <f t="shared" ca="1" si="10"/>
        <v>0.60444528161135813</v>
      </c>
      <c r="E94">
        <f t="shared" ca="1" si="9"/>
        <v>1</v>
      </c>
      <c r="F94" s="4">
        <f t="shared" ca="1" si="7"/>
        <v>0.47743965121161946</v>
      </c>
      <c r="G94" s="5">
        <f t="shared" ca="1" si="8"/>
        <v>0.60444528161135813</v>
      </c>
    </row>
    <row r="95" spans="2:7" x14ac:dyDescent="0.25">
      <c r="B95" s="22">
        <v>90</v>
      </c>
      <c r="C95" s="4">
        <f t="shared" ca="1" si="10"/>
        <v>0.40197786523731227</v>
      </c>
      <c r="D95" s="5">
        <f t="shared" ca="1" si="10"/>
        <v>9.0013987827914699E-2</v>
      </c>
      <c r="E95">
        <f t="shared" ca="1" si="9"/>
        <v>1</v>
      </c>
      <c r="F95" s="4">
        <f t="shared" ca="1" si="7"/>
        <v>0.40197786523731227</v>
      </c>
      <c r="G95" s="5">
        <f t="shared" ca="1" si="8"/>
        <v>9.0013987827914699E-2</v>
      </c>
    </row>
    <row r="96" spans="2:7" x14ac:dyDescent="0.25">
      <c r="B96" s="22">
        <v>91</v>
      </c>
      <c r="C96" s="4">
        <f t="shared" ca="1" si="10"/>
        <v>-0.71298835895301882</v>
      </c>
      <c r="D96" s="5">
        <f t="shared" ca="1" si="10"/>
        <v>0.696377205266838</v>
      </c>
      <c r="E96">
        <f t="shared" ca="1" si="9"/>
        <v>1</v>
      </c>
      <c r="F96" s="4">
        <f t="shared" ca="1" si="7"/>
        <v>-0.71298835895301882</v>
      </c>
      <c r="G96" s="5">
        <f t="shared" ca="1" si="8"/>
        <v>0.696377205266838</v>
      </c>
    </row>
    <row r="97" spans="2:7" x14ac:dyDescent="0.25">
      <c r="B97" s="22">
        <v>92</v>
      </c>
      <c r="C97" s="4">
        <f t="shared" ca="1" si="10"/>
        <v>-5.4290085389908871E-2</v>
      </c>
      <c r="D97" s="5">
        <f t="shared" ca="1" si="10"/>
        <v>0.36134145244818794</v>
      </c>
      <c r="E97">
        <f t="shared" ca="1" si="9"/>
        <v>1</v>
      </c>
      <c r="F97" s="4">
        <f t="shared" ca="1" si="7"/>
        <v>-5.4290085389908871E-2</v>
      </c>
      <c r="G97" s="5">
        <f t="shared" ca="1" si="8"/>
        <v>0.36134145244818794</v>
      </c>
    </row>
    <row r="98" spans="2:7" x14ac:dyDescent="0.25">
      <c r="B98" s="22">
        <v>93</v>
      </c>
      <c r="C98" s="4">
        <f t="shared" ca="1" si="10"/>
        <v>-0.8226452170685894</v>
      </c>
      <c r="D98" s="5">
        <f t="shared" ca="1" si="10"/>
        <v>-0.44769848406290591</v>
      </c>
      <c r="E98">
        <f t="shared" ca="1" si="9"/>
        <v>1</v>
      </c>
      <c r="F98" s="4">
        <f t="shared" ca="1" si="7"/>
        <v>-0.8226452170685894</v>
      </c>
      <c r="G98" s="5">
        <f t="shared" ca="1" si="8"/>
        <v>-0.44769848406290591</v>
      </c>
    </row>
    <row r="99" spans="2:7" x14ac:dyDescent="0.25">
      <c r="B99" s="22">
        <v>94</v>
      </c>
      <c r="C99" s="4">
        <f t="shared" ca="1" si="10"/>
        <v>0.87417393295984502</v>
      </c>
      <c r="D99" s="5">
        <f t="shared" ca="1" si="10"/>
        <v>-0.95470594158655731</v>
      </c>
      <c r="E99">
        <f t="shared" ca="1" si="9"/>
        <v>0</v>
      </c>
      <c r="F99" s="4">
        <f t="shared" ca="1" si="7"/>
        <v>0</v>
      </c>
      <c r="G99" s="5">
        <f t="shared" ca="1" si="8"/>
        <v>0</v>
      </c>
    </row>
    <row r="100" spans="2:7" x14ac:dyDescent="0.25">
      <c r="B100" s="22">
        <v>95</v>
      </c>
      <c r="C100" s="4">
        <f t="shared" ca="1" si="10"/>
        <v>-7.9917187854881E-2</v>
      </c>
      <c r="D100" s="5">
        <f t="shared" ca="1" si="10"/>
        <v>0.51447042696880363</v>
      </c>
      <c r="E100">
        <f t="shared" ca="1" si="9"/>
        <v>1</v>
      </c>
      <c r="F100" s="4">
        <f t="shared" ca="1" si="7"/>
        <v>-7.9917187854881E-2</v>
      </c>
      <c r="G100" s="5">
        <f t="shared" ca="1" si="8"/>
        <v>0.51447042696880363</v>
      </c>
    </row>
    <row r="101" spans="2:7" x14ac:dyDescent="0.25">
      <c r="B101" s="22">
        <v>96</v>
      </c>
      <c r="C101" s="4">
        <f t="shared" ca="1" si="10"/>
        <v>0.54451318917702296</v>
      </c>
      <c r="D101" s="5">
        <f t="shared" ca="1" si="10"/>
        <v>0.52176716585480287</v>
      </c>
      <c r="E101">
        <f t="shared" ca="1" si="9"/>
        <v>1</v>
      </c>
      <c r="F101" s="4">
        <f t="shared" ca="1" si="7"/>
        <v>0.54451318917702296</v>
      </c>
      <c r="G101" s="5">
        <f t="shared" ca="1" si="8"/>
        <v>0.52176716585480287</v>
      </c>
    </row>
    <row r="102" spans="2:7" x14ac:dyDescent="0.25">
      <c r="B102" s="22">
        <v>97</v>
      </c>
      <c r="C102" s="4">
        <f t="shared" ca="1" si="10"/>
        <v>0.99672649048035522</v>
      </c>
      <c r="D102" s="5">
        <f t="shared" ca="1" si="10"/>
        <v>0.25912750094318526</v>
      </c>
      <c r="E102">
        <f t="shared" ca="1" si="9"/>
        <v>0</v>
      </c>
      <c r="F102" s="4">
        <f t="shared" ca="1" si="7"/>
        <v>0</v>
      </c>
      <c r="G102" s="5">
        <f t="shared" ca="1" si="8"/>
        <v>0</v>
      </c>
    </row>
    <row r="103" spans="2:7" x14ac:dyDescent="0.25">
      <c r="B103" s="22">
        <v>98</v>
      </c>
      <c r="C103" s="4">
        <f t="shared" ca="1" si="10"/>
        <v>-4.3593010469631599E-2</v>
      </c>
      <c r="D103" s="5">
        <f t="shared" ca="1" si="10"/>
        <v>-0.45591830456447546</v>
      </c>
      <c r="E103">
        <f t="shared" ca="1" si="9"/>
        <v>1</v>
      </c>
      <c r="F103" s="4">
        <f t="shared" ca="1" si="7"/>
        <v>-4.3593010469631599E-2</v>
      </c>
      <c r="G103" s="5">
        <f t="shared" ca="1" si="8"/>
        <v>-0.45591830456447546</v>
      </c>
    </row>
    <row r="104" spans="2:7" x14ac:dyDescent="0.25">
      <c r="B104" s="22">
        <v>99</v>
      </c>
      <c r="C104" s="4">
        <f t="shared" ca="1" si="10"/>
        <v>0.42095343545512676</v>
      </c>
      <c r="D104" s="5">
        <f t="shared" ca="1" si="10"/>
        <v>0.30782613145357529</v>
      </c>
      <c r="E104">
        <f t="shared" ca="1" si="9"/>
        <v>1</v>
      </c>
      <c r="F104" s="4">
        <f t="shared" ca="1" si="7"/>
        <v>0.42095343545512676</v>
      </c>
      <c r="G104" s="5">
        <f t="shared" ca="1" si="8"/>
        <v>0.30782613145357529</v>
      </c>
    </row>
    <row r="105" spans="2:7" x14ac:dyDescent="0.25">
      <c r="B105" s="22">
        <v>100</v>
      </c>
      <c r="C105" s="4">
        <f t="shared" ca="1" si="10"/>
        <v>0.43825312542172989</v>
      </c>
      <c r="D105" s="5">
        <f t="shared" ca="1" si="10"/>
        <v>-0.78822833335961384</v>
      </c>
      <c r="E105">
        <f t="shared" ca="1" si="9"/>
        <v>1</v>
      </c>
      <c r="F105" s="4">
        <f t="shared" ca="1" si="7"/>
        <v>0.43825312542172989</v>
      </c>
      <c r="G105" s="5">
        <f t="shared" ca="1" si="8"/>
        <v>-0.78822833335961384</v>
      </c>
    </row>
    <row r="106" spans="2:7" x14ac:dyDescent="0.25">
      <c r="B106" s="22">
        <v>101</v>
      </c>
      <c r="C106" s="4">
        <f t="shared" ca="1" si="10"/>
        <v>-0.42836041451707674</v>
      </c>
      <c r="D106" s="5">
        <f t="shared" ca="1" si="10"/>
        <v>-0.3830739568064927</v>
      </c>
      <c r="E106">
        <f t="shared" ca="1" si="9"/>
        <v>1</v>
      </c>
      <c r="F106" s="4">
        <f t="shared" ca="1" si="7"/>
        <v>-0.42836041451707674</v>
      </c>
      <c r="G106" s="5">
        <f t="shared" ca="1" si="8"/>
        <v>-0.3830739568064927</v>
      </c>
    </row>
    <row r="107" spans="2:7" x14ac:dyDescent="0.25">
      <c r="B107" s="22">
        <v>102</v>
      </c>
      <c r="C107" s="4">
        <f t="shared" ca="1" si="10"/>
        <v>-0.94510410430179292</v>
      </c>
      <c r="D107" s="5">
        <f t="shared" ca="1" si="10"/>
        <v>0.9695546334096572</v>
      </c>
      <c r="E107">
        <f t="shared" ca="1" si="9"/>
        <v>0</v>
      </c>
      <c r="F107" s="4">
        <f t="shared" ca="1" si="7"/>
        <v>0</v>
      </c>
      <c r="G107" s="5">
        <f t="shared" ca="1" si="8"/>
        <v>0</v>
      </c>
    </row>
    <row r="108" spans="2:7" x14ac:dyDescent="0.25">
      <c r="B108" s="22">
        <v>103</v>
      </c>
      <c r="C108" s="4">
        <f t="shared" ca="1" si="10"/>
        <v>-0.23270017048643643</v>
      </c>
      <c r="D108" s="5">
        <f t="shared" ca="1" si="10"/>
        <v>0.7016027992313667</v>
      </c>
      <c r="E108">
        <f t="shared" ca="1" si="9"/>
        <v>1</v>
      </c>
      <c r="F108" s="4">
        <f t="shared" ca="1" si="7"/>
        <v>-0.23270017048643643</v>
      </c>
      <c r="G108" s="5">
        <f t="shared" ca="1" si="8"/>
        <v>0.7016027992313667</v>
      </c>
    </row>
    <row r="109" spans="2:7" x14ac:dyDescent="0.25">
      <c r="B109" s="22">
        <v>104</v>
      </c>
      <c r="C109" s="4">
        <f t="shared" ca="1" si="10"/>
        <v>0.18356625129057647</v>
      </c>
      <c r="D109" s="5">
        <f t="shared" ca="1" si="10"/>
        <v>-0.87144900652274337</v>
      </c>
      <c r="E109">
        <f t="shared" ca="1" si="9"/>
        <v>1</v>
      </c>
      <c r="F109" s="4">
        <f t="shared" ca="1" si="7"/>
        <v>0.18356625129057647</v>
      </c>
      <c r="G109" s="5">
        <f t="shared" ca="1" si="8"/>
        <v>-0.87144900652274337</v>
      </c>
    </row>
    <row r="110" spans="2:7" x14ac:dyDescent="0.25">
      <c r="B110" s="22">
        <v>105</v>
      </c>
      <c r="C110" s="4">
        <f t="shared" ca="1" si="10"/>
        <v>-0.96261246506354059</v>
      </c>
      <c r="D110" s="5">
        <f t="shared" ca="1" si="10"/>
        <v>-0.24354693213972478</v>
      </c>
      <c r="E110">
        <f t="shared" ca="1" si="9"/>
        <v>1</v>
      </c>
      <c r="F110" s="4">
        <f t="shared" ca="1" si="7"/>
        <v>-0.96261246506354059</v>
      </c>
      <c r="G110" s="5">
        <f t="shared" ca="1" si="8"/>
        <v>-0.24354693213972478</v>
      </c>
    </row>
    <row r="111" spans="2:7" x14ac:dyDescent="0.25">
      <c r="B111" s="22">
        <v>106</v>
      </c>
      <c r="C111" s="4">
        <f t="shared" ca="1" si="10"/>
        <v>-0.93618724663356967</v>
      </c>
      <c r="D111" s="5">
        <f t="shared" ca="1" si="10"/>
        <v>0.93535082563723915</v>
      </c>
      <c r="E111">
        <f t="shared" ca="1" si="9"/>
        <v>0</v>
      </c>
      <c r="F111" s="4">
        <f t="shared" ca="1" si="7"/>
        <v>0</v>
      </c>
      <c r="G111" s="5">
        <f t="shared" ca="1" si="8"/>
        <v>0</v>
      </c>
    </row>
    <row r="112" spans="2:7" x14ac:dyDescent="0.25">
      <c r="B112" s="22">
        <v>107</v>
      </c>
      <c r="C112" s="4">
        <f t="shared" ca="1" si="10"/>
        <v>0.70178958359633725</v>
      </c>
      <c r="D112" s="5">
        <f t="shared" ca="1" si="10"/>
        <v>0.9520267936365876</v>
      </c>
      <c r="E112">
        <f t="shared" ca="1" si="9"/>
        <v>0</v>
      </c>
      <c r="F112" s="4">
        <f t="shared" ca="1" si="7"/>
        <v>0</v>
      </c>
      <c r="G112" s="5">
        <f t="shared" ca="1" si="8"/>
        <v>0</v>
      </c>
    </row>
    <row r="113" spans="2:7" x14ac:dyDescent="0.25">
      <c r="B113" s="22">
        <v>108</v>
      </c>
      <c r="C113" s="4">
        <f t="shared" ca="1" si="10"/>
        <v>0.43858459800271077</v>
      </c>
      <c r="D113" s="5">
        <f t="shared" ca="1" si="10"/>
        <v>0.69447112653602017</v>
      </c>
      <c r="E113">
        <f t="shared" ca="1" si="9"/>
        <v>1</v>
      </c>
      <c r="F113" s="4">
        <f t="shared" ca="1" si="7"/>
        <v>0.43858459800271077</v>
      </c>
      <c r="G113" s="5">
        <f t="shared" ca="1" si="8"/>
        <v>0.69447112653602017</v>
      </c>
    </row>
    <row r="114" spans="2:7" x14ac:dyDescent="0.25">
      <c r="B114" s="22">
        <v>109</v>
      </c>
      <c r="C114" s="4">
        <f t="shared" ca="1" si="10"/>
        <v>0.26973666731314383</v>
      </c>
      <c r="D114" s="5">
        <f t="shared" ca="1" si="10"/>
        <v>0.71581710063885207</v>
      </c>
      <c r="E114">
        <f t="shared" ca="1" si="9"/>
        <v>1</v>
      </c>
      <c r="F114" s="4">
        <f t="shared" ca="1" si="7"/>
        <v>0.26973666731314383</v>
      </c>
      <c r="G114" s="5">
        <f t="shared" ca="1" si="8"/>
        <v>0.71581710063885207</v>
      </c>
    </row>
    <row r="115" spans="2:7" x14ac:dyDescent="0.25">
      <c r="B115" s="22">
        <v>110</v>
      </c>
      <c r="C115" s="4">
        <f t="shared" ca="1" si="10"/>
        <v>-0.35177911249756977</v>
      </c>
      <c r="D115" s="5">
        <f t="shared" ca="1" si="10"/>
        <v>0.87736249961296142</v>
      </c>
      <c r="E115">
        <f t="shared" ca="1" si="9"/>
        <v>1</v>
      </c>
      <c r="F115" s="4">
        <f t="shared" ca="1" si="7"/>
        <v>-0.35177911249756977</v>
      </c>
      <c r="G115" s="5">
        <f t="shared" ca="1" si="8"/>
        <v>0.87736249961296142</v>
      </c>
    </row>
    <row r="116" spans="2:7" x14ac:dyDescent="0.25">
      <c r="B116" s="22">
        <v>111</v>
      </c>
      <c r="C116" s="4">
        <f t="shared" ca="1" si="10"/>
        <v>1.2295607202038816E-2</v>
      </c>
      <c r="D116" s="5">
        <f t="shared" ca="1" si="10"/>
        <v>-0.55340230011069291</v>
      </c>
      <c r="E116">
        <f t="shared" ca="1" si="9"/>
        <v>1</v>
      </c>
      <c r="F116" s="4">
        <f t="shared" ca="1" si="7"/>
        <v>1.2295607202038816E-2</v>
      </c>
      <c r="G116" s="5">
        <f t="shared" ca="1" si="8"/>
        <v>-0.55340230011069291</v>
      </c>
    </row>
    <row r="117" spans="2:7" x14ac:dyDescent="0.25">
      <c r="B117" s="22">
        <v>112</v>
      </c>
      <c r="C117" s="4">
        <f t="shared" ca="1" si="10"/>
        <v>-0.54971852486238215</v>
      </c>
      <c r="D117" s="5">
        <f t="shared" ca="1" si="10"/>
        <v>-0.26434435475456231</v>
      </c>
      <c r="E117">
        <f t="shared" ca="1" si="9"/>
        <v>1</v>
      </c>
      <c r="F117" s="4">
        <f t="shared" ca="1" si="7"/>
        <v>-0.54971852486238215</v>
      </c>
      <c r="G117" s="5">
        <f t="shared" ca="1" si="8"/>
        <v>-0.26434435475456231</v>
      </c>
    </row>
    <row r="118" spans="2:7" x14ac:dyDescent="0.25">
      <c r="B118" s="22">
        <v>113</v>
      </c>
      <c r="C118" s="4">
        <f t="shared" ca="1" si="10"/>
        <v>-0.20517807869816074</v>
      </c>
      <c r="D118" s="5">
        <f t="shared" ca="1" si="10"/>
        <v>4.8253503164273681E-2</v>
      </c>
      <c r="E118">
        <f t="shared" ca="1" si="9"/>
        <v>1</v>
      </c>
      <c r="F118" s="4">
        <f t="shared" ca="1" si="7"/>
        <v>-0.20517807869816074</v>
      </c>
      <c r="G118" s="5">
        <f t="shared" ca="1" si="8"/>
        <v>4.8253503164273681E-2</v>
      </c>
    </row>
    <row r="119" spans="2:7" x14ac:dyDescent="0.25">
      <c r="B119" s="22">
        <v>114</v>
      </c>
      <c r="C119" s="4">
        <f t="shared" ca="1" si="10"/>
        <v>-0.5072165164059701</v>
      </c>
      <c r="D119" s="5">
        <f t="shared" ca="1" si="10"/>
        <v>-0.90511323982421388</v>
      </c>
      <c r="E119">
        <f t="shared" ca="1" si="9"/>
        <v>0</v>
      </c>
      <c r="F119" s="4">
        <f t="shared" ca="1" si="7"/>
        <v>0</v>
      </c>
      <c r="G119" s="5">
        <f t="shared" ca="1" si="8"/>
        <v>0</v>
      </c>
    </row>
    <row r="120" spans="2:7" x14ac:dyDescent="0.25">
      <c r="B120" s="22">
        <v>115</v>
      </c>
      <c r="C120" s="4">
        <f t="shared" ca="1" si="10"/>
        <v>-0.26623852885535304</v>
      </c>
      <c r="D120" s="5">
        <f t="shared" ca="1" si="10"/>
        <v>-0.67079066318985259</v>
      </c>
      <c r="E120">
        <f t="shared" ca="1" si="9"/>
        <v>1</v>
      </c>
      <c r="F120" s="4">
        <f t="shared" ca="1" si="7"/>
        <v>-0.26623852885535304</v>
      </c>
      <c r="G120" s="5">
        <f t="shared" ca="1" si="8"/>
        <v>-0.67079066318985259</v>
      </c>
    </row>
    <row r="121" spans="2:7" x14ac:dyDescent="0.25">
      <c r="B121" s="22">
        <v>116</v>
      </c>
      <c r="C121" s="4">
        <f t="shared" ca="1" si="10"/>
        <v>0.51343844902997526</v>
      </c>
      <c r="D121" s="5">
        <f t="shared" ca="1" si="10"/>
        <v>-0.46876738531574724</v>
      </c>
      <c r="E121">
        <f t="shared" ca="1" si="9"/>
        <v>1</v>
      </c>
      <c r="F121" s="4">
        <f t="shared" ca="1" si="7"/>
        <v>0.51343844902997526</v>
      </c>
      <c r="G121" s="5">
        <f t="shared" ca="1" si="8"/>
        <v>-0.46876738531574724</v>
      </c>
    </row>
    <row r="122" spans="2:7" x14ac:dyDescent="0.25">
      <c r="B122" s="22">
        <v>117</v>
      </c>
      <c r="C122" s="4">
        <f t="shared" ca="1" si="10"/>
        <v>0.33963546771523179</v>
      </c>
      <c r="D122" s="5">
        <f t="shared" ca="1" si="10"/>
        <v>-0.32390347958867127</v>
      </c>
      <c r="E122">
        <f t="shared" ca="1" si="9"/>
        <v>1</v>
      </c>
      <c r="F122" s="4">
        <f t="shared" ca="1" si="7"/>
        <v>0.33963546771523179</v>
      </c>
      <c r="G122" s="5">
        <f t="shared" ca="1" si="8"/>
        <v>-0.32390347958867127</v>
      </c>
    </row>
    <row r="123" spans="2:7" x14ac:dyDescent="0.25">
      <c r="B123" s="22">
        <v>118</v>
      </c>
      <c r="C123" s="4">
        <f t="shared" ca="1" si="10"/>
        <v>0.69213780627229582</v>
      </c>
      <c r="D123" s="5">
        <f t="shared" ca="1" si="10"/>
        <v>-0.73876459370952774</v>
      </c>
      <c r="E123">
        <f t="shared" ca="1" si="9"/>
        <v>0</v>
      </c>
      <c r="F123" s="4">
        <f t="shared" ca="1" si="7"/>
        <v>0</v>
      </c>
      <c r="G123" s="5">
        <f t="shared" ca="1" si="8"/>
        <v>0</v>
      </c>
    </row>
    <row r="124" spans="2:7" x14ac:dyDescent="0.25">
      <c r="B124" s="22">
        <v>119</v>
      </c>
      <c r="C124" s="4">
        <f t="shared" ca="1" si="10"/>
        <v>6.778477407808392E-2</v>
      </c>
      <c r="D124" s="5">
        <f t="shared" ca="1" si="10"/>
        <v>-8.7954073878900418E-2</v>
      </c>
      <c r="E124">
        <f t="shared" ca="1" si="9"/>
        <v>1</v>
      </c>
      <c r="F124" s="4">
        <f t="shared" ca="1" si="7"/>
        <v>6.778477407808392E-2</v>
      </c>
      <c r="G124" s="5">
        <f t="shared" ca="1" si="8"/>
        <v>-8.7954073878900418E-2</v>
      </c>
    </row>
    <row r="125" spans="2:7" x14ac:dyDescent="0.25">
      <c r="B125" s="22">
        <v>120</v>
      </c>
      <c r="C125" s="4">
        <f t="shared" ca="1" si="10"/>
        <v>-0.29883699704394706</v>
      </c>
      <c r="D125" s="5">
        <f t="shared" ca="1" si="10"/>
        <v>-0.10251977617940167</v>
      </c>
      <c r="E125">
        <f t="shared" ca="1" si="9"/>
        <v>1</v>
      </c>
      <c r="F125" s="4">
        <f t="shared" ca="1" si="7"/>
        <v>-0.29883699704394706</v>
      </c>
      <c r="G125" s="5">
        <f t="shared" ca="1" si="8"/>
        <v>-0.10251977617940167</v>
      </c>
    </row>
    <row r="126" spans="2:7" x14ac:dyDescent="0.25">
      <c r="B126" s="22">
        <v>121</v>
      </c>
      <c r="C126" s="4">
        <f t="shared" ca="1" si="10"/>
        <v>-0.29202838019660105</v>
      </c>
      <c r="D126" s="5">
        <f t="shared" ca="1" si="10"/>
        <v>0.39570217830845644</v>
      </c>
      <c r="E126">
        <f t="shared" ca="1" si="9"/>
        <v>1</v>
      </c>
      <c r="F126" s="4">
        <f t="shared" ca="1" si="7"/>
        <v>-0.29202838019660105</v>
      </c>
      <c r="G126" s="5">
        <f t="shared" ca="1" si="8"/>
        <v>0.39570217830845644</v>
      </c>
    </row>
    <row r="127" spans="2:7" x14ac:dyDescent="0.25">
      <c r="B127" s="22">
        <v>122</v>
      </c>
      <c r="C127" s="4">
        <f t="shared" ca="1" si="10"/>
        <v>-0.58748422559362634</v>
      </c>
      <c r="D127" s="5">
        <f t="shared" ca="1" si="10"/>
        <v>0.4997209038408168</v>
      </c>
      <c r="E127">
        <f t="shared" ca="1" si="9"/>
        <v>1</v>
      </c>
      <c r="F127" s="4">
        <f t="shared" ca="1" si="7"/>
        <v>-0.58748422559362634</v>
      </c>
      <c r="G127" s="5">
        <f t="shared" ca="1" si="8"/>
        <v>0.4997209038408168</v>
      </c>
    </row>
    <row r="128" spans="2:7" x14ac:dyDescent="0.25">
      <c r="B128" s="22">
        <v>123</v>
      </c>
      <c r="C128" s="4">
        <f t="shared" ca="1" si="10"/>
        <v>-0.78790618292975267</v>
      </c>
      <c r="D128" s="5">
        <f t="shared" ca="1" si="10"/>
        <v>-0.35719464025863434</v>
      </c>
      <c r="E128">
        <f t="shared" ca="1" si="9"/>
        <v>1</v>
      </c>
      <c r="F128" s="4">
        <f t="shared" ca="1" si="7"/>
        <v>-0.78790618292975267</v>
      </c>
      <c r="G128" s="5">
        <f t="shared" ca="1" si="8"/>
        <v>-0.35719464025863434</v>
      </c>
    </row>
    <row r="129" spans="2:7" x14ac:dyDescent="0.25">
      <c r="B129" s="22">
        <v>124</v>
      </c>
      <c r="C129" s="4">
        <f t="shared" ca="1" si="10"/>
        <v>0.31327872301362314</v>
      </c>
      <c r="D129" s="5">
        <f t="shared" ca="1" si="10"/>
        <v>-0.83473252659759445</v>
      </c>
      <c r="E129">
        <f t="shared" ca="1" si="9"/>
        <v>1</v>
      </c>
      <c r="F129" s="4">
        <f t="shared" ca="1" si="7"/>
        <v>0.31327872301362314</v>
      </c>
      <c r="G129" s="5">
        <f t="shared" ca="1" si="8"/>
        <v>-0.83473252659759445</v>
      </c>
    </row>
    <row r="130" spans="2:7" x14ac:dyDescent="0.25">
      <c r="B130" s="22">
        <v>125</v>
      </c>
      <c r="C130" s="4">
        <f t="shared" ca="1" si="10"/>
        <v>0.65255502728823034</v>
      </c>
      <c r="D130" s="5">
        <f t="shared" ca="1" si="10"/>
        <v>0.66356451504686897</v>
      </c>
      <c r="E130">
        <f t="shared" ca="1" si="9"/>
        <v>1</v>
      </c>
      <c r="F130" s="4">
        <f t="shared" ca="1" si="7"/>
        <v>0.65255502728823034</v>
      </c>
      <c r="G130" s="5">
        <f t="shared" ca="1" si="8"/>
        <v>0.66356451504686897</v>
      </c>
    </row>
    <row r="131" spans="2:7" x14ac:dyDescent="0.25">
      <c r="B131" s="22">
        <v>126</v>
      </c>
      <c r="C131" s="4">
        <f t="shared" ca="1" si="10"/>
        <v>-0.3014186189634589</v>
      </c>
      <c r="D131" s="5">
        <f t="shared" ca="1" si="10"/>
        <v>-0.93089963266734221</v>
      </c>
      <c r="E131">
        <f t="shared" ca="1" si="9"/>
        <v>1</v>
      </c>
      <c r="F131" s="4">
        <f t="shared" ca="1" si="7"/>
        <v>-0.3014186189634589</v>
      </c>
      <c r="G131" s="5">
        <f t="shared" ca="1" si="8"/>
        <v>-0.93089963266734221</v>
      </c>
    </row>
    <row r="132" spans="2:7" x14ac:dyDescent="0.25">
      <c r="B132" s="22">
        <v>127</v>
      </c>
      <c r="C132" s="4">
        <f t="shared" ca="1" si="10"/>
        <v>0.45706417978512981</v>
      </c>
      <c r="D132" s="5">
        <f t="shared" ca="1" si="10"/>
        <v>-0.54432858281433272</v>
      </c>
      <c r="E132">
        <f t="shared" ca="1" si="9"/>
        <v>1</v>
      </c>
      <c r="F132" s="4">
        <f t="shared" ca="1" si="7"/>
        <v>0.45706417978512981</v>
      </c>
      <c r="G132" s="5">
        <f t="shared" ca="1" si="8"/>
        <v>-0.54432858281433272</v>
      </c>
    </row>
    <row r="133" spans="2:7" x14ac:dyDescent="0.25">
      <c r="B133" s="22">
        <v>128</v>
      </c>
      <c r="C133" s="4">
        <f t="shared" ca="1" si="10"/>
        <v>-0.58180532532665996</v>
      </c>
      <c r="D133" s="5">
        <f t="shared" ca="1" si="10"/>
        <v>-0.94623824161197456</v>
      </c>
      <c r="E133">
        <f t="shared" ca="1" si="9"/>
        <v>0</v>
      </c>
      <c r="F133" s="4">
        <f t="shared" ca="1" si="7"/>
        <v>0</v>
      </c>
      <c r="G133" s="5">
        <f t="shared" ca="1" si="8"/>
        <v>0</v>
      </c>
    </row>
    <row r="134" spans="2:7" x14ac:dyDescent="0.25">
      <c r="B134" s="22">
        <v>129</v>
      </c>
      <c r="C134" s="4">
        <f t="shared" ca="1" si="10"/>
        <v>0.77412659031814379</v>
      </c>
      <c r="D134" s="5">
        <f t="shared" ca="1" si="10"/>
        <v>-5.5621514681921447E-2</v>
      </c>
      <c r="E134">
        <f t="shared" ca="1" si="9"/>
        <v>1</v>
      </c>
      <c r="F134" s="4">
        <f t="shared" ref="F134:F197" ca="1" si="11">IF((C134^2+D134^2)&lt;1, C134, 0)</f>
        <v>0.77412659031814379</v>
      </c>
      <c r="G134" s="5">
        <f t="shared" ref="G134:G197" ca="1" si="12">IF((C134^2+D134^2)&lt;1, D134, 0)</f>
        <v>-5.5621514681921447E-2</v>
      </c>
    </row>
    <row r="135" spans="2:7" x14ac:dyDescent="0.25">
      <c r="B135" s="22">
        <v>130</v>
      </c>
      <c r="C135" s="4">
        <f t="shared" ca="1" si="10"/>
        <v>0.30392023107240007</v>
      </c>
      <c r="D135" s="5">
        <f t="shared" ca="1" si="10"/>
        <v>-0.97372883011055777</v>
      </c>
      <c r="E135">
        <f t="shared" ref="E135:E198" ca="1" si="13">IF(C135^2+D135^2&lt;1, 1, 0)</f>
        <v>0</v>
      </c>
      <c r="F135" s="4">
        <f t="shared" ca="1" si="11"/>
        <v>0</v>
      </c>
      <c r="G135" s="5">
        <f t="shared" ca="1" si="12"/>
        <v>0</v>
      </c>
    </row>
    <row r="136" spans="2:7" x14ac:dyDescent="0.25">
      <c r="B136" s="22">
        <v>131</v>
      </c>
      <c r="C136" s="4">
        <f t="shared" ca="1" si="10"/>
        <v>0.4082799670656363</v>
      </c>
      <c r="D136" s="5">
        <f t="shared" ca="1" si="10"/>
        <v>-0.51494502667771225</v>
      </c>
      <c r="E136">
        <f t="shared" ca="1" si="13"/>
        <v>1</v>
      </c>
      <c r="F136" s="4">
        <f t="shared" ca="1" si="11"/>
        <v>0.4082799670656363</v>
      </c>
      <c r="G136" s="5">
        <f t="shared" ca="1" si="12"/>
        <v>-0.51494502667771225</v>
      </c>
    </row>
    <row r="137" spans="2:7" x14ac:dyDescent="0.25">
      <c r="B137" s="22">
        <v>132</v>
      </c>
      <c r="C137" s="4">
        <f t="shared" ca="1" si="10"/>
        <v>-0.52440346609444655</v>
      </c>
      <c r="D137" s="5">
        <f t="shared" ca="1" si="10"/>
        <v>0.65398463329127421</v>
      </c>
      <c r="E137">
        <f t="shared" ca="1" si="13"/>
        <v>1</v>
      </c>
      <c r="F137" s="4">
        <f t="shared" ca="1" si="11"/>
        <v>-0.52440346609444655</v>
      </c>
      <c r="G137" s="5">
        <f t="shared" ca="1" si="12"/>
        <v>0.65398463329127421</v>
      </c>
    </row>
    <row r="138" spans="2:7" x14ac:dyDescent="0.25">
      <c r="B138" s="22">
        <v>133</v>
      </c>
      <c r="C138" s="4">
        <f t="shared" ca="1" si="10"/>
        <v>0.83128061336340453</v>
      </c>
      <c r="D138" s="5">
        <f t="shared" ca="1" si="10"/>
        <v>-0.98692469193484045</v>
      </c>
      <c r="E138">
        <f t="shared" ca="1" si="13"/>
        <v>0</v>
      </c>
      <c r="F138" s="4">
        <f t="shared" ca="1" si="11"/>
        <v>0</v>
      </c>
      <c r="G138" s="5">
        <f t="shared" ca="1" si="12"/>
        <v>0</v>
      </c>
    </row>
    <row r="139" spans="2:7" x14ac:dyDescent="0.25">
      <c r="B139" s="22">
        <v>134</v>
      </c>
      <c r="C139" s="4">
        <f t="shared" ca="1" si="10"/>
        <v>-2.0156355587315655E-2</v>
      </c>
      <c r="D139" s="5">
        <f t="shared" ca="1" si="10"/>
        <v>-0.75502037692607371</v>
      </c>
      <c r="E139">
        <f t="shared" ca="1" si="13"/>
        <v>1</v>
      </c>
      <c r="F139" s="4">
        <f t="shared" ca="1" si="11"/>
        <v>-2.0156355587315655E-2</v>
      </c>
      <c r="G139" s="5">
        <f t="shared" ca="1" si="12"/>
        <v>-0.75502037692607371</v>
      </c>
    </row>
    <row r="140" spans="2:7" x14ac:dyDescent="0.25">
      <c r="B140" s="22">
        <v>135</v>
      </c>
      <c r="C140" s="4">
        <f t="shared" ca="1" si="10"/>
        <v>-0.79695515569045039</v>
      </c>
      <c r="D140" s="5">
        <f t="shared" ca="1" si="10"/>
        <v>-3.476478394179372E-2</v>
      </c>
      <c r="E140">
        <f t="shared" ca="1" si="13"/>
        <v>1</v>
      </c>
      <c r="F140" s="4">
        <f t="shared" ca="1" si="11"/>
        <v>-0.79695515569045039</v>
      </c>
      <c r="G140" s="5">
        <f t="shared" ca="1" si="12"/>
        <v>-3.476478394179372E-2</v>
      </c>
    </row>
    <row r="141" spans="2:7" x14ac:dyDescent="0.25">
      <c r="B141" s="22">
        <v>136</v>
      </c>
      <c r="C141" s="4">
        <f t="shared" ca="1" si="10"/>
        <v>0.74895374354563171</v>
      </c>
      <c r="D141" s="5">
        <f t="shared" ca="1" si="10"/>
        <v>0.99283764540699293</v>
      </c>
      <c r="E141">
        <f t="shared" ca="1" si="13"/>
        <v>0</v>
      </c>
      <c r="F141" s="4">
        <f t="shared" ca="1" si="11"/>
        <v>0</v>
      </c>
      <c r="G141" s="5">
        <f t="shared" ca="1" si="12"/>
        <v>0</v>
      </c>
    </row>
    <row r="142" spans="2:7" x14ac:dyDescent="0.25">
      <c r="B142" s="22">
        <v>137</v>
      </c>
      <c r="C142" s="4">
        <f t="shared" ca="1" si="10"/>
        <v>0.38121395640996902</v>
      </c>
      <c r="D142" s="5">
        <f t="shared" ca="1" si="10"/>
        <v>-0.52419966258283757</v>
      </c>
      <c r="E142">
        <f t="shared" ca="1" si="13"/>
        <v>1</v>
      </c>
      <c r="F142" s="4">
        <f t="shared" ca="1" si="11"/>
        <v>0.38121395640996902</v>
      </c>
      <c r="G142" s="5">
        <f t="shared" ca="1" si="12"/>
        <v>-0.52419966258283757</v>
      </c>
    </row>
    <row r="143" spans="2:7" x14ac:dyDescent="0.25">
      <c r="B143" s="22">
        <v>138</v>
      </c>
      <c r="C143" s="4">
        <f t="shared" ca="1" si="10"/>
        <v>0.33188448330440945</v>
      </c>
      <c r="D143" s="5">
        <f t="shared" ca="1" si="10"/>
        <v>-0.42455230292977708</v>
      </c>
      <c r="E143">
        <f t="shared" ca="1" si="13"/>
        <v>1</v>
      </c>
      <c r="F143" s="4">
        <f t="shared" ca="1" si="11"/>
        <v>0.33188448330440945</v>
      </c>
      <c r="G143" s="5">
        <f t="shared" ca="1" si="12"/>
        <v>-0.42455230292977708</v>
      </c>
    </row>
    <row r="144" spans="2:7" x14ac:dyDescent="0.25">
      <c r="B144" s="22">
        <v>139</v>
      </c>
      <c r="C144" s="4">
        <f t="shared" ca="1" si="10"/>
        <v>0.1567591573105318</v>
      </c>
      <c r="D144" s="5">
        <f t="shared" ca="1" si="10"/>
        <v>0.85851541709290746</v>
      </c>
      <c r="E144">
        <f t="shared" ca="1" si="13"/>
        <v>1</v>
      </c>
      <c r="F144" s="4">
        <f t="shared" ca="1" si="11"/>
        <v>0.1567591573105318</v>
      </c>
      <c r="G144" s="5">
        <f t="shared" ca="1" si="12"/>
        <v>0.85851541709290746</v>
      </c>
    </row>
    <row r="145" spans="2:7" x14ac:dyDescent="0.25">
      <c r="B145" s="22">
        <v>140</v>
      </c>
      <c r="C145" s="4">
        <f t="shared" ca="1" si="10"/>
        <v>-0.4364841498816614</v>
      </c>
      <c r="D145" s="5">
        <f t="shared" ca="1" si="10"/>
        <v>-0.36822108745537085</v>
      </c>
      <c r="E145">
        <f t="shared" ca="1" si="13"/>
        <v>1</v>
      </c>
      <c r="F145" s="4">
        <f t="shared" ca="1" si="11"/>
        <v>-0.4364841498816614</v>
      </c>
      <c r="G145" s="5">
        <f t="shared" ca="1" si="12"/>
        <v>-0.36822108745537085</v>
      </c>
    </row>
    <row r="146" spans="2:7" x14ac:dyDescent="0.25">
      <c r="B146" s="22">
        <v>141</v>
      </c>
      <c r="C146" s="4">
        <f t="shared" ca="1" si="10"/>
        <v>9.8262655385902065E-2</v>
      </c>
      <c r="D146" s="5">
        <f t="shared" ca="1" si="10"/>
        <v>-0.80328626189034225</v>
      </c>
      <c r="E146">
        <f t="shared" ca="1" si="13"/>
        <v>1</v>
      </c>
      <c r="F146" s="4">
        <f t="shared" ca="1" si="11"/>
        <v>9.8262655385902065E-2</v>
      </c>
      <c r="G146" s="5">
        <f t="shared" ca="1" si="12"/>
        <v>-0.80328626189034225</v>
      </c>
    </row>
    <row r="147" spans="2:7" x14ac:dyDescent="0.25">
      <c r="B147" s="22">
        <v>142</v>
      </c>
      <c r="C147" s="4">
        <f t="shared" ca="1" si="10"/>
        <v>0.19486283565280749</v>
      </c>
      <c r="D147" s="5">
        <f t="shared" ca="1" si="10"/>
        <v>-0.1241290917930904</v>
      </c>
      <c r="E147">
        <f t="shared" ca="1" si="13"/>
        <v>1</v>
      </c>
      <c r="F147" s="4">
        <f t="shared" ca="1" si="11"/>
        <v>0.19486283565280749</v>
      </c>
      <c r="G147" s="5">
        <f t="shared" ca="1" si="12"/>
        <v>-0.1241290917930904</v>
      </c>
    </row>
    <row r="148" spans="2:7" x14ac:dyDescent="0.25">
      <c r="B148" s="22">
        <v>143</v>
      </c>
      <c r="C148" s="4">
        <f t="shared" ca="1" si="10"/>
        <v>-0.20222519611694301</v>
      </c>
      <c r="D148" s="5">
        <f t="shared" ca="1" si="10"/>
        <v>-0.87795028820167098</v>
      </c>
      <c r="E148">
        <f t="shared" ca="1" si="13"/>
        <v>1</v>
      </c>
      <c r="F148" s="4">
        <f t="shared" ca="1" si="11"/>
        <v>-0.20222519611694301</v>
      </c>
      <c r="G148" s="5">
        <f t="shared" ca="1" si="12"/>
        <v>-0.87795028820167098</v>
      </c>
    </row>
    <row r="149" spans="2:7" x14ac:dyDescent="0.25">
      <c r="B149" s="22">
        <v>144</v>
      </c>
      <c r="C149" s="4">
        <f t="shared" ca="1" si="10"/>
        <v>0.78935025466120212</v>
      </c>
      <c r="D149" s="5">
        <f t="shared" ca="1" si="10"/>
        <v>-0.68629391566372044</v>
      </c>
      <c r="E149">
        <f t="shared" ca="1" si="13"/>
        <v>0</v>
      </c>
      <c r="F149" s="4">
        <f t="shared" ca="1" si="11"/>
        <v>0</v>
      </c>
      <c r="G149" s="5">
        <f t="shared" ca="1" si="12"/>
        <v>0</v>
      </c>
    </row>
    <row r="150" spans="2:7" x14ac:dyDescent="0.25">
      <c r="B150" s="22">
        <v>145</v>
      </c>
      <c r="C150" s="4">
        <f t="shared" ca="1" si="10"/>
        <v>-0.54705844320092623</v>
      </c>
      <c r="D150" s="5">
        <f t="shared" ca="1" si="10"/>
        <v>0.41653763036588831</v>
      </c>
      <c r="E150">
        <f t="shared" ca="1" si="13"/>
        <v>1</v>
      </c>
      <c r="F150" s="4">
        <f t="shared" ca="1" si="11"/>
        <v>-0.54705844320092623</v>
      </c>
      <c r="G150" s="5">
        <f t="shared" ca="1" si="12"/>
        <v>0.41653763036588831</v>
      </c>
    </row>
    <row r="151" spans="2:7" x14ac:dyDescent="0.25">
      <c r="B151" s="22">
        <v>146</v>
      </c>
      <c r="C151" s="4">
        <f t="shared" ref="C151:D214" ca="1" si="14">1-2*RAND()</f>
        <v>-0.63049013924685404</v>
      </c>
      <c r="D151" s="5">
        <f t="shared" ca="1" si="14"/>
        <v>0.79678960612995553</v>
      </c>
      <c r="E151">
        <f t="shared" ca="1" si="13"/>
        <v>0</v>
      </c>
      <c r="F151" s="4">
        <f t="shared" ca="1" si="11"/>
        <v>0</v>
      </c>
      <c r="G151" s="5">
        <f t="shared" ca="1" si="12"/>
        <v>0</v>
      </c>
    </row>
    <row r="152" spans="2:7" x14ac:dyDescent="0.25">
      <c r="B152" s="22">
        <v>147</v>
      </c>
      <c r="C152" s="4">
        <f t="shared" ca="1" si="14"/>
        <v>0.53689413856342805</v>
      </c>
      <c r="D152" s="5">
        <f t="shared" ca="1" si="14"/>
        <v>-0.15693013746324858</v>
      </c>
      <c r="E152">
        <f t="shared" ca="1" si="13"/>
        <v>1</v>
      </c>
      <c r="F152" s="4">
        <f t="shared" ca="1" si="11"/>
        <v>0.53689413856342805</v>
      </c>
      <c r="G152" s="5">
        <f t="shared" ca="1" si="12"/>
        <v>-0.15693013746324858</v>
      </c>
    </row>
    <row r="153" spans="2:7" x14ac:dyDescent="0.25">
      <c r="B153" s="22">
        <v>148</v>
      </c>
      <c r="C153" s="4">
        <f t="shared" ca="1" si="14"/>
        <v>-0.67278219079529089</v>
      </c>
      <c r="D153" s="5">
        <f t="shared" ca="1" si="14"/>
        <v>0.7564124254681055</v>
      </c>
      <c r="E153">
        <f t="shared" ca="1" si="13"/>
        <v>0</v>
      </c>
      <c r="F153" s="4">
        <f t="shared" ca="1" si="11"/>
        <v>0</v>
      </c>
      <c r="G153" s="5">
        <f t="shared" ca="1" si="12"/>
        <v>0</v>
      </c>
    </row>
    <row r="154" spans="2:7" x14ac:dyDescent="0.25">
      <c r="B154" s="22">
        <v>149</v>
      </c>
      <c r="C154" s="4">
        <f t="shared" ca="1" si="14"/>
        <v>-0.66818547920170768</v>
      </c>
      <c r="D154" s="5">
        <f t="shared" ca="1" si="14"/>
        <v>-5.1790571897639248E-2</v>
      </c>
      <c r="E154">
        <f t="shared" ca="1" si="13"/>
        <v>1</v>
      </c>
      <c r="F154" s="4">
        <f t="shared" ca="1" si="11"/>
        <v>-0.66818547920170768</v>
      </c>
      <c r="G154" s="5">
        <f t="shared" ca="1" si="12"/>
        <v>-5.1790571897639248E-2</v>
      </c>
    </row>
    <row r="155" spans="2:7" x14ac:dyDescent="0.25">
      <c r="B155" s="22">
        <v>150</v>
      </c>
      <c r="C155" s="4">
        <f t="shared" ca="1" si="14"/>
        <v>0.36453619735285137</v>
      </c>
      <c r="D155" s="5">
        <f t="shared" ca="1" si="14"/>
        <v>-0.43997852131225579</v>
      </c>
      <c r="E155">
        <f t="shared" ca="1" si="13"/>
        <v>1</v>
      </c>
      <c r="F155" s="4">
        <f t="shared" ca="1" si="11"/>
        <v>0.36453619735285137</v>
      </c>
      <c r="G155" s="5">
        <f t="shared" ca="1" si="12"/>
        <v>-0.43997852131225579</v>
      </c>
    </row>
    <row r="156" spans="2:7" x14ac:dyDescent="0.25">
      <c r="B156" s="22">
        <v>151</v>
      </c>
      <c r="C156" s="4">
        <f t="shared" ca="1" si="14"/>
        <v>-0.61226929925905815</v>
      </c>
      <c r="D156" s="5">
        <f t="shared" ca="1" si="14"/>
        <v>2.3578901948010156E-2</v>
      </c>
      <c r="E156">
        <f t="shared" ca="1" si="13"/>
        <v>1</v>
      </c>
      <c r="F156" s="4">
        <f t="shared" ca="1" si="11"/>
        <v>-0.61226929925905815</v>
      </c>
      <c r="G156" s="5">
        <f t="shared" ca="1" si="12"/>
        <v>2.3578901948010156E-2</v>
      </c>
    </row>
    <row r="157" spans="2:7" x14ac:dyDescent="0.25">
      <c r="B157" s="22">
        <v>152</v>
      </c>
      <c r="C157" s="4">
        <f t="shared" ca="1" si="14"/>
        <v>0.33487535306499261</v>
      </c>
      <c r="D157" s="5">
        <f t="shared" ca="1" si="14"/>
        <v>-0.56066690665090579</v>
      </c>
      <c r="E157">
        <f t="shared" ca="1" si="13"/>
        <v>1</v>
      </c>
      <c r="F157" s="4">
        <f t="shared" ca="1" si="11"/>
        <v>0.33487535306499261</v>
      </c>
      <c r="G157" s="5">
        <f t="shared" ca="1" si="12"/>
        <v>-0.56066690665090579</v>
      </c>
    </row>
    <row r="158" spans="2:7" x14ac:dyDescent="0.25">
      <c r="B158" s="22">
        <v>153</v>
      </c>
      <c r="C158" s="4">
        <f t="shared" ca="1" si="14"/>
        <v>-0.30931167947879668</v>
      </c>
      <c r="D158" s="5">
        <f t="shared" ca="1" si="14"/>
        <v>-0.91616507136623859</v>
      </c>
      <c r="E158">
        <f t="shared" ca="1" si="13"/>
        <v>1</v>
      </c>
      <c r="F158" s="4">
        <f t="shared" ca="1" si="11"/>
        <v>-0.30931167947879668</v>
      </c>
      <c r="G158" s="5">
        <f t="shared" ca="1" si="12"/>
        <v>-0.91616507136623859</v>
      </c>
    </row>
    <row r="159" spans="2:7" x14ac:dyDescent="0.25">
      <c r="B159" s="22">
        <v>154</v>
      </c>
      <c r="C159" s="4">
        <f t="shared" ca="1" si="14"/>
        <v>0.65656052329772785</v>
      </c>
      <c r="D159" s="5">
        <f t="shared" ca="1" si="14"/>
        <v>-0.5289051866908685</v>
      </c>
      <c r="E159">
        <f t="shared" ca="1" si="13"/>
        <v>1</v>
      </c>
      <c r="F159" s="4">
        <f t="shared" ca="1" si="11"/>
        <v>0.65656052329772785</v>
      </c>
      <c r="G159" s="5">
        <f t="shared" ca="1" si="12"/>
        <v>-0.5289051866908685</v>
      </c>
    </row>
    <row r="160" spans="2:7" x14ac:dyDescent="0.25">
      <c r="B160" s="22">
        <v>155</v>
      </c>
      <c r="C160" s="4">
        <f t="shared" ca="1" si="14"/>
        <v>-0.8003420659168905</v>
      </c>
      <c r="D160" s="5">
        <f t="shared" ca="1" si="14"/>
        <v>-0.19784067097170732</v>
      </c>
      <c r="E160">
        <f t="shared" ca="1" si="13"/>
        <v>1</v>
      </c>
      <c r="F160" s="4">
        <f t="shared" ca="1" si="11"/>
        <v>-0.8003420659168905</v>
      </c>
      <c r="G160" s="5">
        <f t="shared" ca="1" si="12"/>
        <v>-0.19784067097170732</v>
      </c>
    </row>
    <row r="161" spans="2:7" x14ac:dyDescent="0.25">
      <c r="B161" s="22">
        <v>156</v>
      </c>
      <c r="C161" s="4">
        <f t="shared" ca="1" si="14"/>
        <v>-0.56970911072418851</v>
      </c>
      <c r="D161" s="5">
        <f t="shared" ca="1" si="14"/>
        <v>-0.35563226526870029</v>
      </c>
      <c r="E161">
        <f t="shared" ca="1" si="13"/>
        <v>1</v>
      </c>
      <c r="F161" s="4">
        <f t="shared" ca="1" si="11"/>
        <v>-0.56970911072418851</v>
      </c>
      <c r="G161" s="5">
        <f t="shared" ca="1" si="12"/>
        <v>-0.35563226526870029</v>
      </c>
    </row>
    <row r="162" spans="2:7" x14ac:dyDescent="0.25">
      <c r="B162" s="22">
        <v>157</v>
      </c>
      <c r="C162" s="4">
        <f t="shared" ca="1" si="14"/>
        <v>0.98869504238081296</v>
      </c>
      <c r="D162" s="5">
        <f t="shared" ca="1" si="14"/>
        <v>-0.89087978301676962</v>
      </c>
      <c r="E162">
        <f t="shared" ca="1" si="13"/>
        <v>0</v>
      </c>
      <c r="F162" s="4">
        <f t="shared" ca="1" si="11"/>
        <v>0</v>
      </c>
      <c r="G162" s="5">
        <f t="shared" ca="1" si="12"/>
        <v>0</v>
      </c>
    </row>
    <row r="163" spans="2:7" x14ac:dyDescent="0.25">
      <c r="B163" s="22">
        <v>158</v>
      </c>
      <c r="C163" s="4">
        <f t="shared" ca="1" si="14"/>
        <v>-0.14840162517273314</v>
      </c>
      <c r="D163" s="5">
        <f t="shared" ca="1" si="14"/>
        <v>0.49226800525523906</v>
      </c>
      <c r="E163">
        <f t="shared" ca="1" si="13"/>
        <v>1</v>
      </c>
      <c r="F163" s="4">
        <f t="shared" ca="1" si="11"/>
        <v>-0.14840162517273314</v>
      </c>
      <c r="G163" s="5">
        <f t="shared" ca="1" si="12"/>
        <v>0.49226800525523906</v>
      </c>
    </row>
    <row r="164" spans="2:7" x14ac:dyDescent="0.25">
      <c r="B164" s="22">
        <v>159</v>
      </c>
      <c r="C164" s="4">
        <f t="shared" ca="1" si="14"/>
        <v>-0.38343955738621638</v>
      </c>
      <c r="D164" s="5">
        <f t="shared" ca="1" si="14"/>
        <v>0.35479590184111864</v>
      </c>
      <c r="E164">
        <f t="shared" ca="1" si="13"/>
        <v>1</v>
      </c>
      <c r="F164" s="4">
        <f t="shared" ca="1" si="11"/>
        <v>-0.38343955738621638</v>
      </c>
      <c r="G164" s="5">
        <f t="shared" ca="1" si="12"/>
        <v>0.35479590184111864</v>
      </c>
    </row>
    <row r="165" spans="2:7" x14ac:dyDescent="0.25">
      <c r="B165" s="22">
        <v>160</v>
      </c>
      <c r="C165" s="4">
        <f t="shared" ca="1" si="14"/>
        <v>-0.46501626297485243</v>
      </c>
      <c r="D165" s="5">
        <f t="shared" ca="1" si="14"/>
        <v>0.48896381148774903</v>
      </c>
      <c r="E165">
        <f t="shared" ca="1" si="13"/>
        <v>1</v>
      </c>
      <c r="F165" s="4">
        <f t="shared" ca="1" si="11"/>
        <v>-0.46501626297485243</v>
      </c>
      <c r="G165" s="5">
        <f t="shared" ca="1" si="12"/>
        <v>0.48896381148774903</v>
      </c>
    </row>
    <row r="166" spans="2:7" x14ac:dyDescent="0.25">
      <c r="B166" s="22">
        <v>161</v>
      </c>
      <c r="C166" s="4">
        <f t="shared" ca="1" si="14"/>
        <v>-3.8367566206443104E-2</v>
      </c>
      <c r="D166" s="5">
        <f t="shared" ca="1" si="14"/>
        <v>0.33792429027759252</v>
      </c>
      <c r="E166">
        <f t="shared" ca="1" si="13"/>
        <v>1</v>
      </c>
      <c r="F166" s="4">
        <f t="shared" ca="1" si="11"/>
        <v>-3.8367566206443104E-2</v>
      </c>
      <c r="G166" s="5">
        <f t="shared" ca="1" si="12"/>
        <v>0.33792429027759252</v>
      </c>
    </row>
    <row r="167" spans="2:7" x14ac:dyDescent="0.25">
      <c r="B167" s="22">
        <v>162</v>
      </c>
      <c r="C167" s="4">
        <f t="shared" ca="1" si="14"/>
        <v>-0.6806921425017618</v>
      </c>
      <c r="D167" s="5">
        <f t="shared" ca="1" si="14"/>
        <v>0.82364182453913592</v>
      </c>
      <c r="E167">
        <f t="shared" ca="1" si="13"/>
        <v>0</v>
      </c>
      <c r="F167" s="4">
        <f t="shared" ca="1" si="11"/>
        <v>0</v>
      </c>
      <c r="G167" s="5">
        <f t="shared" ca="1" si="12"/>
        <v>0</v>
      </c>
    </row>
    <row r="168" spans="2:7" x14ac:dyDescent="0.25">
      <c r="B168" s="22">
        <v>163</v>
      </c>
      <c r="C168" s="4">
        <f t="shared" ca="1" si="14"/>
        <v>-0.14909852735979978</v>
      </c>
      <c r="D168" s="5">
        <f t="shared" ca="1" si="14"/>
        <v>0.83653398993259609</v>
      </c>
      <c r="E168">
        <f t="shared" ca="1" si="13"/>
        <v>1</v>
      </c>
      <c r="F168" s="4">
        <f t="shared" ca="1" si="11"/>
        <v>-0.14909852735979978</v>
      </c>
      <c r="G168" s="5">
        <f t="shared" ca="1" si="12"/>
        <v>0.83653398993259609</v>
      </c>
    </row>
    <row r="169" spans="2:7" x14ac:dyDescent="0.25">
      <c r="B169" s="22">
        <v>164</v>
      </c>
      <c r="C169" s="4">
        <f t="shared" ca="1" si="14"/>
        <v>-0.68329365644956463</v>
      </c>
      <c r="D169" s="5">
        <f t="shared" ca="1" si="14"/>
        <v>0.66369704072888114</v>
      </c>
      <c r="E169">
        <f t="shared" ca="1" si="13"/>
        <v>1</v>
      </c>
      <c r="F169" s="4">
        <f t="shared" ca="1" si="11"/>
        <v>-0.68329365644956463</v>
      </c>
      <c r="G169" s="5">
        <f t="shared" ca="1" si="12"/>
        <v>0.66369704072888114</v>
      </c>
    </row>
    <row r="170" spans="2:7" x14ac:dyDescent="0.25">
      <c r="B170" s="22">
        <v>165</v>
      </c>
      <c r="C170" s="4">
        <f t="shared" ca="1" si="14"/>
        <v>-0.37344699610268295</v>
      </c>
      <c r="D170" s="5">
        <f t="shared" ca="1" si="14"/>
        <v>0.66659748412099118</v>
      </c>
      <c r="E170">
        <f t="shared" ca="1" si="13"/>
        <v>1</v>
      </c>
      <c r="F170" s="4">
        <f t="shared" ca="1" si="11"/>
        <v>-0.37344699610268295</v>
      </c>
      <c r="G170" s="5">
        <f t="shared" ca="1" si="12"/>
        <v>0.66659748412099118</v>
      </c>
    </row>
    <row r="171" spans="2:7" x14ac:dyDescent="0.25">
      <c r="B171" s="22">
        <v>166</v>
      </c>
      <c r="C171" s="4">
        <f t="shared" ca="1" si="14"/>
        <v>-0.7103234402219627</v>
      </c>
      <c r="D171" s="5">
        <f t="shared" ca="1" si="14"/>
        <v>-0.49563925759237204</v>
      </c>
      <c r="E171">
        <f t="shared" ca="1" si="13"/>
        <v>1</v>
      </c>
      <c r="F171" s="4">
        <f t="shared" ca="1" si="11"/>
        <v>-0.7103234402219627</v>
      </c>
      <c r="G171" s="5">
        <f t="shared" ca="1" si="12"/>
        <v>-0.49563925759237204</v>
      </c>
    </row>
    <row r="172" spans="2:7" x14ac:dyDescent="0.25">
      <c r="B172" s="22">
        <v>167</v>
      </c>
      <c r="C172" s="4">
        <f t="shared" ca="1" si="14"/>
        <v>-0.25379099220261137</v>
      </c>
      <c r="D172" s="5">
        <f t="shared" ca="1" si="14"/>
        <v>0.49130095379304284</v>
      </c>
      <c r="E172">
        <f t="shared" ca="1" si="13"/>
        <v>1</v>
      </c>
      <c r="F172" s="4">
        <f t="shared" ca="1" si="11"/>
        <v>-0.25379099220261137</v>
      </c>
      <c r="G172" s="5">
        <f t="shared" ca="1" si="12"/>
        <v>0.49130095379304284</v>
      </c>
    </row>
    <row r="173" spans="2:7" x14ac:dyDescent="0.25">
      <c r="B173" s="22">
        <v>168</v>
      </c>
      <c r="C173" s="4">
        <f t="shared" ca="1" si="14"/>
        <v>-0.34383169820658543</v>
      </c>
      <c r="D173" s="5">
        <f t="shared" ca="1" si="14"/>
        <v>-0.75347355153487539</v>
      </c>
      <c r="E173">
        <f t="shared" ca="1" si="13"/>
        <v>1</v>
      </c>
      <c r="F173" s="4">
        <f t="shared" ca="1" si="11"/>
        <v>-0.34383169820658543</v>
      </c>
      <c r="G173" s="5">
        <f t="shared" ca="1" si="12"/>
        <v>-0.75347355153487539</v>
      </c>
    </row>
    <row r="174" spans="2:7" x14ac:dyDescent="0.25">
      <c r="B174" s="22">
        <v>169</v>
      </c>
      <c r="C174" s="4">
        <f t="shared" ca="1" si="14"/>
        <v>-0.84952193172697577</v>
      </c>
      <c r="D174" s="5">
        <f t="shared" ca="1" si="14"/>
        <v>0.2789655103597497</v>
      </c>
      <c r="E174">
        <f t="shared" ca="1" si="13"/>
        <v>1</v>
      </c>
      <c r="F174" s="4">
        <f t="shared" ca="1" si="11"/>
        <v>-0.84952193172697577</v>
      </c>
      <c r="G174" s="5">
        <f t="shared" ca="1" si="12"/>
        <v>0.2789655103597497</v>
      </c>
    </row>
    <row r="175" spans="2:7" x14ac:dyDescent="0.25">
      <c r="B175" s="22">
        <v>170</v>
      </c>
      <c r="C175" s="4">
        <f t="shared" ca="1" si="14"/>
        <v>-0.54712686672923083</v>
      </c>
      <c r="D175" s="5">
        <f t="shared" ca="1" si="14"/>
        <v>0.73174752111128449</v>
      </c>
      <c r="E175">
        <f t="shared" ca="1" si="13"/>
        <v>1</v>
      </c>
      <c r="F175" s="4">
        <f t="shared" ca="1" si="11"/>
        <v>-0.54712686672923083</v>
      </c>
      <c r="G175" s="5">
        <f t="shared" ca="1" si="12"/>
        <v>0.73174752111128449</v>
      </c>
    </row>
    <row r="176" spans="2:7" x14ac:dyDescent="0.25">
      <c r="B176" s="22">
        <v>171</v>
      </c>
      <c r="C176" s="4">
        <f t="shared" ca="1" si="14"/>
        <v>-0.18755392827359452</v>
      </c>
      <c r="D176" s="5">
        <f t="shared" ca="1" si="14"/>
        <v>0.57241943393967998</v>
      </c>
      <c r="E176">
        <f t="shared" ca="1" si="13"/>
        <v>1</v>
      </c>
      <c r="F176" s="4">
        <f t="shared" ca="1" si="11"/>
        <v>-0.18755392827359452</v>
      </c>
      <c r="G176" s="5">
        <f t="shared" ca="1" si="12"/>
        <v>0.57241943393967998</v>
      </c>
    </row>
    <row r="177" spans="2:7" x14ac:dyDescent="0.25">
      <c r="B177" s="22">
        <v>172</v>
      </c>
      <c r="C177" s="4">
        <f t="shared" ca="1" si="14"/>
        <v>-0.7567933897065009</v>
      </c>
      <c r="D177" s="5">
        <f t="shared" ca="1" si="14"/>
        <v>0.67370781688222237</v>
      </c>
      <c r="E177">
        <f t="shared" ca="1" si="13"/>
        <v>0</v>
      </c>
      <c r="F177" s="4">
        <f t="shared" ca="1" si="11"/>
        <v>0</v>
      </c>
      <c r="G177" s="5">
        <f t="shared" ca="1" si="12"/>
        <v>0</v>
      </c>
    </row>
    <row r="178" spans="2:7" x14ac:dyDescent="0.25">
      <c r="B178" s="22">
        <v>173</v>
      </c>
      <c r="C178" s="4">
        <f t="shared" ca="1" si="14"/>
        <v>-0.87964310062966633</v>
      </c>
      <c r="D178" s="5">
        <f t="shared" ca="1" si="14"/>
        <v>0.6156557715089781</v>
      </c>
      <c r="E178">
        <f t="shared" ca="1" si="13"/>
        <v>0</v>
      </c>
      <c r="F178" s="4">
        <f t="shared" ca="1" si="11"/>
        <v>0</v>
      </c>
      <c r="G178" s="5">
        <f t="shared" ca="1" si="12"/>
        <v>0</v>
      </c>
    </row>
    <row r="179" spans="2:7" x14ac:dyDescent="0.25">
      <c r="B179" s="22">
        <v>174</v>
      </c>
      <c r="C179" s="4">
        <f t="shared" ca="1" si="14"/>
        <v>0.2331079987311615</v>
      </c>
      <c r="D179" s="5">
        <f t="shared" ca="1" si="14"/>
        <v>-0.10082314084382271</v>
      </c>
      <c r="E179">
        <f t="shared" ca="1" si="13"/>
        <v>1</v>
      </c>
      <c r="F179" s="4">
        <f t="shared" ca="1" si="11"/>
        <v>0.2331079987311615</v>
      </c>
      <c r="G179" s="5">
        <f t="shared" ca="1" si="12"/>
        <v>-0.10082314084382271</v>
      </c>
    </row>
    <row r="180" spans="2:7" x14ac:dyDescent="0.25">
      <c r="B180" s="22">
        <v>175</v>
      </c>
      <c r="C180" s="4">
        <f t="shared" ca="1" si="14"/>
        <v>0.17244663618310563</v>
      </c>
      <c r="D180" s="5">
        <f t="shared" ca="1" si="14"/>
        <v>-0.63275272073003075</v>
      </c>
      <c r="E180">
        <f t="shared" ca="1" si="13"/>
        <v>1</v>
      </c>
      <c r="F180" s="4">
        <f t="shared" ca="1" si="11"/>
        <v>0.17244663618310563</v>
      </c>
      <c r="G180" s="5">
        <f t="shared" ca="1" si="12"/>
        <v>-0.63275272073003075</v>
      </c>
    </row>
    <row r="181" spans="2:7" x14ac:dyDescent="0.25">
      <c r="B181" s="22">
        <v>176</v>
      </c>
      <c r="C181" s="4">
        <f t="shared" ca="1" si="14"/>
        <v>0.98007726273574347</v>
      </c>
      <c r="D181" s="5">
        <f t="shared" ca="1" si="14"/>
        <v>0.1350067885986046</v>
      </c>
      <c r="E181">
        <f t="shared" ca="1" si="13"/>
        <v>1</v>
      </c>
      <c r="F181" s="4">
        <f t="shared" ca="1" si="11"/>
        <v>0.98007726273574347</v>
      </c>
      <c r="G181" s="5">
        <f t="shared" ca="1" si="12"/>
        <v>0.1350067885986046</v>
      </c>
    </row>
    <row r="182" spans="2:7" x14ac:dyDescent="0.25">
      <c r="B182" s="22">
        <v>177</v>
      </c>
      <c r="C182" s="4">
        <f t="shared" ca="1" si="14"/>
        <v>-0.98931249411960942</v>
      </c>
      <c r="D182" s="5">
        <f t="shared" ca="1" si="14"/>
        <v>0.86219101519290997</v>
      </c>
      <c r="E182">
        <f t="shared" ca="1" si="13"/>
        <v>0</v>
      </c>
      <c r="F182" s="4">
        <f t="shared" ca="1" si="11"/>
        <v>0</v>
      </c>
      <c r="G182" s="5">
        <f t="shared" ca="1" si="12"/>
        <v>0</v>
      </c>
    </row>
    <row r="183" spans="2:7" x14ac:dyDescent="0.25">
      <c r="B183" s="22">
        <v>178</v>
      </c>
      <c r="C183" s="4">
        <f t="shared" ca="1" si="14"/>
        <v>-0.51588963580604719</v>
      </c>
      <c r="D183" s="5">
        <f t="shared" ca="1" si="14"/>
        <v>0.87909457614426856</v>
      </c>
      <c r="E183">
        <f t="shared" ca="1" si="13"/>
        <v>0</v>
      </c>
      <c r="F183" s="4">
        <f t="shared" ca="1" si="11"/>
        <v>0</v>
      </c>
      <c r="G183" s="5">
        <f t="shared" ca="1" si="12"/>
        <v>0</v>
      </c>
    </row>
    <row r="184" spans="2:7" x14ac:dyDescent="0.25">
      <c r="B184" s="22">
        <v>179</v>
      </c>
      <c r="C184" s="4">
        <f t="shared" ca="1" si="14"/>
        <v>0.42024348373617637</v>
      </c>
      <c r="D184" s="5">
        <f t="shared" ca="1" si="14"/>
        <v>-0.64605077510575026</v>
      </c>
      <c r="E184">
        <f t="shared" ca="1" si="13"/>
        <v>1</v>
      </c>
      <c r="F184" s="4">
        <f t="shared" ca="1" si="11"/>
        <v>0.42024348373617637</v>
      </c>
      <c r="G184" s="5">
        <f t="shared" ca="1" si="12"/>
        <v>-0.64605077510575026</v>
      </c>
    </row>
    <row r="185" spans="2:7" x14ac:dyDescent="0.25">
      <c r="B185" s="22">
        <v>180</v>
      </c>
      <c r="C185" s="4">
        <f t="shared" ca="1" si="14"/>
        <v>-0.28610919245386324</v>
      </c>
      <c r="D185" s="5">
        <f t="shared" ca="1" si="14"/>
        <v>-7.4389859727626906E-2</v>
      </c>
      <c r="E185">
        <f t="shared" ca="1" si="13"/>
        <v>1</v>
      </c>
      <c r="F185" s="4">
        <f t="shared" ca="1" si="11"/>
        <v>-0.28610919245386324</v>
      </c>
      <c r="G185" s="5">
        <f t="shared" ca="1" si="12"/>
        <v>-7.4389859727626906E-2</v>
      </c>
    </row>
    <row r="186" spans="2:7" x14ac:dyDescent="0.25">
      <c r="B186" s="22">
        <v>181</v>
      </c>
      <c r="C186" s="4">
        <f t="shared" ca="1" si="14"/>
        <v>0.74883323749821895</v>
      </c>
      <c r="D186" s="5">
        <f t="shared" ca="1" si="14"/>
        <v>-0.14871309182303705</v>
      </c>
      <c r="E186">
        <f t="shared" ca="1" si="13"/>
        <v>1</v>
      </c>
      <c r="F186" s="4">
        <f t="shared" ca="1" si="11"/>
        <v>0.74883323749821895</v>
      </c>
      <c r="G186" s="5">
        <f t="shared" ca="1" si="12"/>
        <v>-0.14871309182303705</v>
      </c>
    </row>
    <row r="187" spans="2:7" x14ac:dyDescent="0.25">
      <c r="B187" s="22">
        <v>182</v>
      </c>
      <c r="C187" s="4">
        <f t="shared" ca="1" si="14"/>
        <v>-0.27389661292448175</v>
      </c>
      <c r="D187" s="5">
        <f t="shared" ca="1" si="14"/>
        <v>0.7857946267837741</v>
      </c>
      <c r="E187">
        <f t="shared" ca="1" si="13"/>
        <v>1</v>
      </c>
      <c r="F187" s="4">
        <f t="shared" ca="1" si="11"/>
        <v>-0.27389661292448175</v>
      </c>
      <c r="G187" s="5">
        <f t="shared" ca="1" si="12"/>
        <v>0.7857946267837741</v>
      </c>
    </row>
    <row r="188" spans="2:7" x14ac:dyDescent="0.25">
      <c r="B188" s="22">
        <v>183</v>
      </c>
      <c r="C188" s="4">
        <f t="shared" ca="1" si="14"/>
        <v>-0.40857593401037406</v>
      </c>
      <c r="D188" s="5">
        <f t="shared" ca="1" si="14"/>
        <v>-0.75701438291689516</v>
      </c>
      <c r="E188">
        <f t="shared" ca="1" si="13"/>
        <v>1</v>
      </c>
      <c r="F188" s="4">
        <f t="shared" ca="1" si="11"/>
        <v>-0.40857593401037406</v>
      </c>
      <c r="G188" s="5">
        <f t="shared" ca="1" si="12"/>
        <v>-0.75701438291689516</v>
      </c>
    </row>
    <row r="189" spans="2:7" x14ac:dyDescent="0.25">
      <c r="B189" s="22">
        <v>184</v>
      </c>
      <c r="C189" s="4">
        <f t="shared" ca="1" si="14"/>
        <v>-0.9935409084792417</v>
      </c>
      <c r="D189" s="5">
        <f t="shared" ca="1" si="14"/>
        <v>-0.22483950961257237</v>
      </c>
      <c r="E189">
        <f t="shared" ca="1" si="13"/>
        <v>0</v>
      </c>
      <c r="F189" s="4">
        <f t="shared" ca="1" si="11"/>
        <v>0</v>
      </c>
      <c r="G189" s="5">
        <f t="shared" ca="1" si="12"/>
        <v>0</v>
      </c>
    </row>
    <row r="190" spans="2:7" x14ac:dyDescent="0.25">
      <c r="B190" s="22">
        <v>185</v>
      </c>
      <c r="C190" s="4">
        <f t="shared" ca="1" si="14"/>
        <v>-0.81588442482789314</v>
      </c>
      <c r="D190" s="5">
        <f t="shared" ca="1" si="14"/>
        <v>-0.57683904922245355</v>
      </c>
      <c r="E190">
        <f t="shared" ca="1" si="13"/>
        <v>1</v>
      </c>
      <c r="F190" s="4">
        <f t="shared" ca="1" si="11"/>
        <v>-0.81588442482789314</v>
      </c>
      <c r="G190" s="5">
        <f t="shared" ca="1" si="12"/>
        <v>-0.57683904922245355</v>
      </c>
    </row>
    <row r="191" spans="2:7" x14ac:dyDescent="0.25">
      <c r="B191" s="22">
        <v>186</v>
      </c>
      <c r="C191" s="4">
        <f t="shared" ca="1" si="14"/>
        <v>0.87376294553599743</v>
      </c>
      <c r="D191" s="5">
        <f t="shared" ca="1" si="14"/>
        <v>-0.87819760553091042</v>
      </c>
      <c r="E191">
        <f t="shared" ca="1" si="13"/>
        <v>0</v>
      </c>
      <c r="F191" s="4">
        <f t="shared" ca="1" si="11"/>
        <v>0</v>
      </c>
      <c r="G191" s="5">
        <f t="shared" ca="1" si="12"/>
        <v>0</v>
      </c>
    </row>
    <row r="192" spans="2:7" x14ac:dyDescent="0.25">
      <c r="B192" s="22">
        <v>187</v>
      </c>
      <c r="C192" s="4">
        <f t="shared" ca="1" si="14"/>
        <v>-0.34599716560235017</v>
      </c>
      <c r="D192" s="5">
        <f t="shared" ca="1" si="14"/>
        <v>0.88272638522178237</v>
      </c>
      <c r="E192">
        <f t="shared" ca="1" si="13"/>
        <v>1</v>
      </c>
      <c r="F192" s="4">
        <f t="shared" ca="1" si="11"/>
        <v>-0.34599716560235017</v>
      </c>
      <c r="G192" s="5">
        <f t="shared" ca="1" si="12"/>
        <v>0.88272638522178237</v>
      </c>
    </row>
    <row r="193" spans="2:7" x14ac:dyDescent="0.25">
      <c r="B193" s="22">
        <v>188</v>
      </c>
      <c r="C193" s="4">
        <f t="shared" ca="1" si="14"/>
        <v>0.21681288454455494</v>
      </c>
      <c r="D193" s="5">
        <f t="shared" ca="1" si="14"/>
        <v>-0.99860074124818721</v>
      </c>
      <c r="E193">
        <f t="shared" ca="1" si="13"/>
        <v>0</v>
      </c>
      <c r="F193" s="4">
        <f t="shared" ca="1" si="11"/>
        <v>0</v>
      </c>
      <c r="G193" s="5">
        <f t="shared" ca="1" si="12"/>
        <v>0</v>
      </c>
    </row>
    <row r="194" spans="2:7" x14ac:dyDescent="0.25">
      <c r="B194" s="22">
        <v>189</v>
      </c>
      <c r="C194" s="4">
        <f t="shared" ca="1" si="14"/>
        <v>-0.78956255700716871</v>
      </c>
      <c r="D194" s="5">
        <f t="shared" ca="1" si="14"/>
        <v>-5.2950222332490693E-3</v>
      </c>
      <c r="E194">
        <f t="shared" ca="1" si="13"/>
        <v>1</v>
      </c>
      <c r="F194" s="4">
        <f t="shared" ca="1" si="11"/>
        <v>-0.78956255700716871</v>
      </c>
      <c r="G194" s="5">
        <f t="shared" ca="1" si="12"/>
        <v>-5.2950222332490693E-3</v>
      </c>
    </row>
    <row r="195" spans="2:7" x14ac:dyDescent="0.25">
      <c r="B195" s="22">
        <v>190</v>
      </c>
      <c r="C195" s="4">
        <f t="shared" ca="1" si="14"/>
        <v>0.32618104902446721</v>
      </c>
      <c r="D195" s="5">
        <f t="shared" ca="1" si="14"/>
        <v>0.59111860899541546</v>
      </c>
      <c r="E195">
        <f t="shared" ca="1" si="13"/>
        <v>1</v>
      </c>
      <c r="F195" s="4">
        <f t="shared" ca="1" si="11"/>
        <v>0.32618104902446721</v>
      </c>
      <c r="G195" s="5">
        <f t="shared" ca="1" si="12"/>
        <v>0.59111860899541546</v>
      </c>
    </row>
    <row r="196" spans="2:7" x14ac:dyDescent="0.25">
      <c r="B196" s="22">
        <v>191</v>
      </c>
      <c r="C196" s="4">
        <f t="shared" ca="1" si="14"/>
        <v>0.58067190636130128</v>
      </c>
      <c r="D196" s="5">
        <f t="shared" ca="1" si="14"/>
        <v>0.28214499948986171</v>
      </c>
      <c r="E196">
        <f t="shared" ca="1" si="13"/>
        <v>1</v>
      </c>
      <c r="F196" s="4">
        <f t="shared" ca="1" si="11"/>
        <v>0.58067190636130128</v>
      </c>
      <c r="G196" s="5">
        <f t="shared" ca="1" si="12"/>
        <v>0.28214499948986171</v>
      </c>
    </row>
    <row r="197" spans="2:7" x14ac:dyDescent="0.25">
      <c r="B197" s="22">
        <v>192</v>
      </c>
      <c r="C197" s="4">
        <f t="shared" ca="1" si="14"/>
        <v>0.41822604002109465</v>
      </c>
      <c r="D197" s="5">
        <f t="shared" ca="1" si="14"/>
        <v>0.89215333284014453</v>
      </c>
      <c r="E197">
        <f t="shared" ca="1" si="13"/>
        <v>1</v>
      </c>
      <c r="F197" s="4">
        <f t="shared" ca="1" si="11"/>
        <v>0.41822604002109465</v>
      </c>
      <c r="G197" s="5">
        <f t="shared" ca="1" si="12"/>
        <v>0.89215333284014453</v>
      </c>
    </row>
    <row r="198" spans="2:7" x14ac:dyDescent="0.25">
      <c r="B198" s="22">
        <v>193</v>
      </c>
      <c r="C198" s="4">
        <f t="shared" ca="1" si="14"/>
        <v>-0.8912165973577828</v>
      </c>
      <c r="D198" s="5">
        <f t="shared" ca="1" si="14"/>
        <v>-0.94252136178388901</v>
      </c>
      <c r="E198">
        <f t="shared" ca="1" si="13"/>
        <v>0</v>
      </c>
      <c r="F198" s="4">
        <f t="shared" ref="F198:F261" ca="1" si="15">IF((C198^2+D198^2)&lt;1, C198, 0)</f>
        <v>0</v>
      </c>
      <c r="G198" s="5">
        <f t="shared" ref="G198:G261" ca="1" si="16">IF((C198^2+D198^2)&lt;1, D198, 0)</f>
        <v>0</v>
      </c>
    </row>
    <row r="199" spans="2:7" x14ac:dyDescent="0.25">
      <c r="B199" s="22">
        <v>194</v>
      </c>
      <c r="C199" s="4">
        <f t="shared" ca="1" si="14"/>
        <v>-0.77462929813822723</v>
      </c>
      <c r="D199" s="5">
        <f t="shared" ca="1" si="14"/>
        <v>0.17655528719331759</v>
      </c>
      <c r="E199">
        <f t="shared" ref="E199:E262" ca="1" si="17">IF(C199^2+D199^2&lt;1, 1, 0)</f>
        <v>1</v>
      </c>
      <c r="F199" s="4">
        <f t="shared" ca="1" si="15"/>
        <v>-0.77462929813822723</v>
      </c>
      <c r="G199" s="5">
        <f t="shared" ca="1" si="16"/>
        <v>0.17655528719331759</v>
      </c>
    </row>
    <row r="200" spans="2:7" x14ac:dyDescent="0.25">
      <c r="B200" s="22">
        <v>195</v>
      </c>
      <c r="C200" s="4">
        <f t="shared" ca="1" si="14"/>
        <v>-0.29146307681398942</v>
      </c>
      <c r="D200" s="5">
        <f t="shared" ca="1" si="14"/>
        <v>0.29073544025429832</v>
      </c>
      <c r="E200">
        <f t="shared" ca="1" si="17"/>
        <v>1</v>
      </c>
      <c r="F200" s="4">
        <f t="shared" ca="1" si="15"/>
        <v>-0.29146307681398942</v>
      </c>
      <c r="G200" s="5">
        <f t="shared" ca="1" si="16"/>
        <v>0.29073544025429832</v>
      </c>
    </row>
    <row r="201" spans="2:7" x14ac:dyDescent="0.25">
      <c r="B201" s="22">
        <v>196</v>
      </c>
      <c r="C201" s="4">
        <f t="shared" ca="1" si="14"/>
        <v>0.11702183378485431</v>
      </c>
      <c r="D201" s="5">
        <f t="shared" ca="1" si="14"/>
        <v>0.54935940174868159</v>
      </c>
      <c r="E201">
        <f t="shared" ca="1" si="17"/>
        <v>1</v>
      </c>
      <c r="F201" s="4">
        <f t="shared" ca="1" si="15"/>
        <v>0.11702183378485431</v>
      </c>
      <c r="G201" s="5">
        <f t="shared" ca="1" si="16"/>
        <v>0.54935940174868159</v>
      </c>
    </row>
    <row r="202" spans="2:7" x14ac:dyDescent="0.25">
      <c r="B202" s="22">
        <v>197</v>
      </c>
      <c r="C202" s="4">
        <f t="shared" ca="1" si="14"/>
        <v>0.46599265863341954</v>
      </c>
      <c r="D202" s="5">
        <f t="shared" ca="1" si="14"/>
        <v>-0.45101819038930802</v>
      </c>
      <c r="E202">
        <f t="shared" ca="1" si="17"/>
        <v>1</v>
      </c>
      <c r="F202" s="4">
        <f t="shared" ca="1" si="15"/>
        <v>0.46599265863341954</v>
      </c>
      <c r="G202" s="5">
        <f t="shared" ca="1" si="16"/>
        <v>-0.45101819038930802</v>
      </c>
    </row>
    <row r="203" spans="2:7" x14ac:dyDescent="0.25">
      <c r="B203" s="22">
        <v>198</v>
      </c>
      <c r="C203" s="4">
        <f t="shared" ca="1" si="14"/>
        <v>-0.73041074598094902</v>
      </c>
      <c r="D203" s="5">
        <f t="shared" ca="1" si="14"/>
        <v>0.22272548997852204</v>
      </c>
      <c r="E203">
        <f t="shared" ca="1" si="17"/>
        <v>1</v>
      </c>
      <c r="F203" s="4">
        <f t="shared" ca="1" si="15"/>
        <v>-0.73041074598094902</v>
      </c>
      <c r="G203" s="5">
        <f t="shared" ca="1" si="16"/>
        <v>0.22272548997852204</v>
      </c>
    </row>
    <row r="204" spans="2:7" x14ac:dyDescent="0.25">
      <c r="B204" s="22">
        <v>199</v>
      </c>
      <c r="C204" s="4">
        <f t="shared" ca="1" si="14"/>
        <v>0.13061031882047058</v>
      </c>
      <c r="D204" s="5">
        <f t="shared" ca="1" si="14"/>
        <v>0.32240464531383095</v>
      </c>
      <c r="E204">
        <f t="shared" ca="1" si="17"/>
        <v>1</v>
      </c>
      <c r="F204" s="4">
        <f t="shared" ca="1" si="15"/>
        <v>0.13061031882047058</v>
      </c>
      <c r="G204" s="5">
        <f t="shared" ca="1" si="16"/>
        <v>0.32240464531383095</v>
      </c>
    </row>
    <row r="205" spans="2:7" x14ac:dyDescent="0.25">
      <c r="B205" s="22">
        <v>200</v>
      </c>
      <c r="C205" s="4">
        <f t="shared" ca="1" si="14"/>
        <v>-0.87356145321287548</v>
      </c>
      <c r="D205" s="5">
        <f t="shared" ca="1" si="14"/>
        <v>0.7610528726805692</v>
      </c>
      <c r="E205">
        <f t="shared" ca="1" si="17"/>
        <v>0</v>
      </c>
      <c r="F205" s="4">
        <f t="shared" ca="1" si="15"/>
        <v>0</v>
      </c>
      <c r="G205" s="5">
        <f t="shared" ca="1" si="16"/>
        <v>0</v>
      </c>
    </row>
    <row r="206" spans="2:7" x14ac:dyDescent="0.25">
      <c r="B206" s="22">
        <v>201</v>
      </c>
      <c r="C206" s="4">
        <f t="shared" ca="1" si="14"/>
        <v>-0.9511023104333225</v>
      </c>
      <c r="D206" s="5">
        <f t="shared" ca="1" si="14"/>
        <v>-0.97787893930796699</v>
      </c>
      <c r="E206">
        <f t="shared" ca="1" si="17"/>
        <v>0</v>
      </c>
      <c r="F206" s="4">
        <f t="shared" ca="1" si="15"/>
        <v>0</v>
      </c>
      <c r="G206" s="5">
        <f t="shared" ca="1" si="16"/>
        <v>0</v>
      </c>
    </row>
    <row r="207" spans="2:7" x14ac:dyDescent="0.25">
      <c r="B207" s="22">
        <v>202</v>
      </c>
      <c r="C207" s="4">
        <f t="shared" ca="1" si="14"/>
        <v>-0.24590411753837982</v>
      </c>
      <c r="D207" s="5">
        <f t="shared" ca="1" si="14"/>
        <v>-6.0679816761216587E-2</v>
      </c>
      <c r="E207">
        <f t="shared" ca="1" si="17"/>
        <v>1</v>
      </c>
      <c r="F207" s="4">
        <f t="shared" ca="1" si="15"/>
        <v>-0.24590411753837982</v>
      </c>
      <c r="G207" s="5">
        <f t="shared" ca="1" si="16"/>
        <v>-6.0679816761216587E-2</v>
      </c>
    </row>
    <row r="208" spans="2:7" x14ac:dyDescent="0.25">
      <c r="B208" s="22">
        <v>203</v>
      </c>
      <c r="C208" s="4">
        <f t="shared" ca="1" si="14"/>
        <v>0.51826534562871318</v>
      </c>
      <c r="D208" s="5">
        <f t="shared" ca="1" si="14"/>
        <v>0.62399862750970891</v>
      </c>
      <c r="E208">
        <f t="shared" ca="1" si="17"/>
        <v>1</v>
      </c>
      <c r="F208" s="4">
        <f t="shared" ca="1" si="15"/>
        <v>0.51826534562871318</v>
      </c>
      <c r="G208" s="5">
        <f t="shared" ca="1" si="16"/>
        <v>0.62399862750970891</v>
      </c>
    </row>
    <row r="209" spans="2:7" x14ac:dyDescent="0.25">
      <c r="B209" s="22">
        <v>204</v>
      </c>
      <c r="C209" s="4">
        <f t="shared" ca="1" si="14"/>
        <v>-0.6771569944186937</v>
      </c>
      <c r="D209" s="5">
        <f t="shared" ca="1" si="14"/>
        <v>0.62085696278725044</v>
      </c>
      <c r="E209">
        <f t="shared" ca="1" si="17"/>
        <v>1</v>
      </c>
      <c r="F209" s="4">
        <f t="shared" ca="1" si="15"/>
        <v>-0.6771569944186937</v>
      </c>
      <c r="G209" s="5">
        <f t="shared" ca="1" si="16"/>
        <v>0.62085696278725044</v>
      </c>
    </row>
    <row r="210" spans="2:7" x14ac:dyDescent="0.25">
      <c r="B210" s="22">
        <v>205</v>
      </c>
      <c r="C210" s="4">
        <f t="shared" ca="1" si="14"/>
        <v>0.85137765048316449</v>
      </c>
      <c r="D210" s="5">
        <f t="shared" ca="1" si="14"/>
        <v>0.98404534983240777</v>
      </c>
      <c r="E210">
        <f t="shared" ca="1" si="17"/>
        <v>0</v>
      </c>
      <c r="F210" s="4">
        <f t="shared" ca="1" si="15"/>
        <v>0</v>
      </c>
      <c r="G210" s="5">
        <f t="shared" ca="1" si="16"/>
        <v>0</v>
      </c>
    </row>
    <row r="211" spans="2:7" x14ac:dyDescent="0.25">
      <c r="B211" s="22">
        <v>206</v>
      </c>
      <c r="C211" s="4">
        <f t="shared" ca="1" si="14"/>
        <v>-0.69032737151475354</v>
      </c>
      <c r="D211" s="5">
        <f t="shared" ca="1" si="14"/>
        <v>-0.78718073406442612</v>
      </c>
      <c r="E211">
        <f t="shared" ca="1" si="17"/>
        <v>0</v>
      </c>
      <c r="F211" s="4">
        <f t="shared" ca="1" si="15"/>
        <v>0</v>
      </c>
      <c r="G211" s="5">
        <f t="shared" ca="1" si="16"/>
        <v>0</v>
      </c>
    </row>
    <row r="212" spans="2:7" x14ac:dyDescent="0.25">
      <c r="B212" s="22">
        <v>207</v>
      </c>
      <c r="C212" s="4">
        <f t="shared" ca="1" si="14"/>
        <v>-0.94364017211844842</v>
      </c>
      <c r="D212" s="5">
        <f t="shared" ca="1" si="14"/>
        <v>6.7368697634401897E-2</v>
      </c>
      <c r="E212">
        <f t="shared" ca="1" si="17"/>
        <v>1</v>
      </c>
      <c r="F212" s="4">
        <f t="shared" ca="1" si="15"/>
        <v>-0.94364017211844842</v>
      </c>
      <c r="G212" s="5">
        <f t="shared" ca="1" si="16"/>
        <v>6.7368697634401897E-2</v>
      </c>
    </row>
    <row r="213" spans="2:7" x14ac:dyDescent="0.25">
      <c r="B213" s="22">
        <v>208</v>
      </c>
      <c r="C213" s="4">
        <f t="shared" ca="1" si="14"/>
        <v>-0.2271730022946461</v>
      </c>
      <c r="D213" s="5">
        <f t="shared" ca="1" si="14"/>
        <v>-0.80036354233093387</v>
      </c>
      <c r="E213">
        <f t="shared" ca="1" si="17"/>
        <v>1</v>
      </c>
      <c r="F213" s="4">
        <f t="shared" ca="1" si="15"/>
        <v>-0.2271730022946461</v>
      </c>
      <c r="G213" s="5">
        <f t="shared" ca="1" si="16"/>
        <v>-0.80036354233093387</v>
      </c>
    </row>
    <row r="214" spans="2:7" x14ac:dyDescent="0.25">
      <c r="B214" s="22">
        <v>209</v>
      </c>
      <c r="C214" s="4">
        <f t="shared" ca="1" si="14"/>
        <v>-0.76543477268146298</v>
      </c>
      <c r="D214" s="5">
        <f t="shared" ca="1" si="14"/>
        <v>-0.42785336538509577</v>
      </c>
      <c r="E214">
        <f t="shared" ca="1" si="17"/>
        <v>1</v>
      </c>
      <c r="F214" s="4">
        <f t="shared" ca="1" si="15"/>
        <v>-0.76543477268146298</v>
      </c>
      <c r="G214" s="5">
        <f t="shared" ca="1" si="16"/>
        <v>-0.42785336538509577</v>
      </c>
    </row>
    <row r="215" spans="2:7" x14ac:dyDescent="0.25">
      <c r="B215" s="22">
        <v>210</v>
      </c>
      <c r="C215" s="4">
        <f t="shared" ref="C215:D278" ca="1" si="18">1-2*RAND()</f>
        <v>-0.85040206610081359</v>
      </c>
      <c r="D215" s="5">
        <f t="shared" ca="1" si="18"/>
        <v>0.1479378975247474</v>
      </c>
      <c r="E215">
        <f t="shared" ca="1" si="17"/>
        <v>1</v>
      </c>
      <c r="F215" s="4">
        <f t="shared" ca="1" si="15"/>
        <v>-0.85040206610081359</v>
      </c>
      <c r="G215" s="5">
        <f t="shared" ca="1" si="16"/>
        <v>0.1479378975247474</v>
      </c>
    </row>
    <row r="216" spans="2:7" x14ac:dyDescent="0.25">
      <c r="B216" s="22">
        <v>211</v>
      </c>
      <c r="C216" s="4">
        <f t="shared" ca="1" si="18"/>
        <v>-0.46551482681582068</v>
      </c>
      <c r="D216" s="5">
        <f t="shared" ca="1" si="18"/>
        <v>-0.12193119212427517</v>
      </c>
      <c r="E216">
        <f t="shared" ca="1" si="17"/>
        <v>1</v>
      </c>
      <c r="F216" s="4">
        <f t="shared" ca="1" si="15"/>
        <v>-0.46551482681582068</v>
      </c>
      <c r="G216" s="5">
        <f t="shared" ca="1" si="16"/>
        <v>-0.12193119212427517</v>
      </c>
    </row>
    <row r="217" spans="2:7" x14ac:dyDescent="0.25">
      <c r="B217" s="22">
        <v>212</v>
      </c>
      <c r="C217" s="4">
        <f t="shared" ca="1" si="18"/>
        <v>-6.7208507044335342E-2</v>
      </c>
      <c r="D217" s="5">
        <f t="shared" ca="1" si="18"/>
        <v>-0.97218830170486004</v>
      </c>
      <c r="E217">
        <f t="shared" ca="1" si="17"/>
        <v>1</v>
      </c>
      <c r="F217" s="4">
        <f t="shared" ca="1" si="15"/>
        <v>-6.7208507044335342E-2</v>
      </c>
      <c r="G217" s="5">
        <f t="shared" ca="1" si="16"/>
        <v>-0.97218830170486004</v>
      </c>
    </row>
    <row r="218" spans="2:7" x14ac:dyDescent="0.25">
      <c r="B218" s="22">
        <v>213</v>
      </c>
      <c r="C218" s="4">
        <f t="shared" ca="1" si="18"/>
        <v>-0.45644087813599543</v>
      </c>
      <c r="D218" s="5">
        <f t="shared" ca="1" si="18"/>
        <v>0.90324903429066161</v>
      </c>
      <c r="E218">
        <f t="shared" ca="1" si="17"/>
        <v>0</v>
      </c>
      <c r="F218" s="4">
        <f t="shared" ca="1" si="15"/>
        <v>0</v>
      </c>
      <c r="G218" s="5">
        <f t="shared" ca="1" si="16"/>
        <v>0</v>
      </c>
    </row>
    <row r="219" spans="2:7" x14ac:dyDescent="0.25">
      <c r="B219" s="22">
        <v>214</v>
      </c>
      <c r="C219" s="4">
        <f t="shared" ca="1" si="18"/>
        <v>0.46989225443897942</v>
      </c>
      <c r="D219" s="5">
        <f t="shared" ca="1" si="18"/>
        <v>0.17618029047808004</v>
      </c>
      <c r="E219">
        <f t="shared" ca="1" si="17"/>
        <v>1</v>
      </c>
      <c r="F219" s="4">
        <f t="shared" ca="1" si="15"/>
        <v>0.46989225443897942</v>
      </c>
      <c r="G219" s="5">
        <f t="shared" ca="1" si="16"/>
        <v>0.17618029047808004</v>
      </c>
    </row>
    <row r="220" spans="2:7" x14ac:dyDescent="0.25">
      <c r="B220" s="22">
        <v>215</v>
      </c>
      <c r="C220" s="4">
        <f t="shared" ca="1" si="18"/>
        <v>-0.33452775751056896</v>
      </c>
      <c r="D220" s="5">
        <f t="shared" ca="1" si="18"/>
        <v>-0.75395816187007147</v>
      </c>
      <c r="E220">
        <f t="shared" ca="1" si="17"/>
        <v>1</v>
      </c>
      <c r="F220" s="4">
        <f t="shared" ca="1" si="15"/>
        <v>-0.33452775751056896</v>
      </c>
      <c r="G220" s="5">
        <f t="shared" ca="1" si="16"/>
        <v>-0.75395816187007147</v>
      </c>
    </row>
    <row r="221" spans="2:7" x14ac:dyDescent="0.25">
      <c r="B221" s="22">
        <v>216</v>
      </c>
      <c r="C221" s="4">
        <f t="shared" ca="1" si="18"/>
        <v>-5.8113548889930255E-2</v>
      </c>
      <c r="D221" s="5">
        <f t="shared" ca="1" si="18"/>
        <v>-0.88569517759199079</v>
      </c>
      <c r="E221">
        <f t="shared" ca="1" si="17"/>
        <v>1</v>
      </c>
      <c r="F221" s="4">
        <f t="shared" ca="1" si="15"/>
        <v>-5.8113548889930255E-2</v>
      </c>
      <c r="G221" s="5">
        <f t="shared" ca="1" si="16"/>
        <v>-0.88569517759199079</v>
      </c>
    </row>
    <row r="222" spans="2:7" x14ac:dyDescent="0.25">
      <c r="B222" s="22">
        <v>217</v>
      </c>
      <c r="C222" s="4">
        <f t="shared" ca="1" si="18"/>
        <v>-0.54203627656751774</v>
      </c>
      <c r="D222" s="5">
        <f t="shared" ca="1" si="18"/>
        <v>-0.90723437610355018</v>
      </c>
      <c r="E222">
        <f t="shared" ca="1" si="17"/>
        <v>0</v>
      </c>
      <c r="F222" s="4">
        <f t="shared" ca="1" si="15"/>
        <v>0</v>
      </c>
      <c r="G222" s="5">
        <f t="shared" ca="1" si="16"/>
        <v>0</v>
      </c>
    </row>
    <row r="223" spans="2:7" x14ac:dyDescent="0.25">
      <c r="B223" s="22">
        <v>218</v>
      </c>
      <c r="C223" s="4">
        <f t="shared" ca="1" si="18"/>
        <v>0.86884783292203571</v>
      </c>
      <c r="D223" s="5">
        <f t="shared" ca="1" si="18"/>
        <v>0.62460121459673057</v>
      </c>
      <c r="E223">
        <f t="shared" ca="1" si="17"/>
        <v>0</v>
      </c>
      <c r="F223" s="4">
        <f t="shared" ca="1" si="15"/>
        <v>0</v>
      </c>
      <c r="G223" s="5">
        <f t="shared" ca="1" si="16"/>
        <v>0</v>
      </c>
    </row>
    <row r="224" spans="2:7" x14ac:dyDescent="0.25">
      <c r="B224" s="22">
        <v>219</v>
      </c>
      <c r="C224" s="4">
        <f t="shared" ca="1" si="18"/>
        <v>0.44419839596069322</v>
      </c>
      <c r="D224" s="5">
        <f t="shared" ca="1" si="18"/>
        <v>0.62395630765587473</v>
      </c>
      <c r="E224">
        <f t="shared" ca="1" si="17"/>
        <v>1</v>
      </c>
      <c r="F224" s="4">
        <f t="shared" ca="1" si="15"/>
        <v>0.44419839596069322</v>
      </c>
      <c r="G224" s="5">
        <f t="shared" ca="1" si="16"/>
        <v>0.62395630765587473</v>
      </c>
    </row>
    <row r="225" spans="2:7" x14ac:dyDescent="0.25">
      <c r="B225" s="22">
        <v>220</v>
      </c>
      <c r="C225" s="4">
        <f t="shared" ca="1" si="18"/>
        <v>-0.43234405307187651</v>
      </c>
      <c r="D225" s="5">
        <f t="shared" ca="1" si="18"/>
        <v>-0.94545464457103456</v>
      </c>
      <c r="E225">
        <f t="shared" ca="1" si="17"/>
        <v>0</v>
      </c>
      <c r="F225" s="4">
        <f t="shared" ca="1" si="15"/>
        <v>0</v>
      </c>
      <c r="G225" s="5">
        <f t="shared" ca="1" si="16"/>
        <v>0</v>
      </c>
    </row>
    <row r="226" spans="2:7" x14ac:dyDescent="0.25">
      <c r="B226" s="22">
        <v>221</v>
      </c>
      <c r="C226" s="4">
        <f t="shared" ca="1" si="18"/>
        <v>-0.97681667381250037</v>
      </c>
      <c r="D226" s="5">
        <f t="shared" ca="1" si="18"/>
        <v>-0.71667129458178791</v>
      </c>
      <c r="E226">
        <f t="shared" ca="1" si="17"/>
        <v>0</v>
      </c>
      <c r="F226" s="4">
        <f t="shared" ca="1" si="15"/>
        <v>0</v>
      </c>
      <c r="G226" s="5">
        <f t="shared" ca="1" si="16"/>
        <v>0</v>
      </c>
    </row>
    <row r="227" spans="2:7" x14ac:dyDescent="0.25">
      <c r="B227" s="22">
        <v>222</v>
      </c>
      <c r="C227" s="4">
        <f t="shared" ca="1" si="18"/>
        <v>-0.66210547456058078</v>
      </c>
      <c r="D227" s="5">
        <f t="shared" ca="1" si="18"/>
        <v>-0.20649130027992157</v>
      </c>
      <c r="E227">
        <f t="shared" ca="1" si="17"/>
        <v>1</v>
      </c>
      <c r="F227" s="4">
        <f t="shared" ca="1" si="15"/>
        <v>-0.66210547456058078</v>
      </c>
      <c r="G227" s="5">
        <f t="shared" ca="1" si="16"/>
        <v>-0.20649130027992157</v>
      </c>
    </row>
    <row r="228" spans="2:7" x14ac:dyDescent="0.25">
      <c r="B228" s="22">
        <v>223</v>
      </c>
      <c r="C228" s="4">
        <f t="shared" ca="1" si="18"/>
        <v>7.213173409713125E-2</v>
      </c>
      <c r="D228" s="5">
        <f t="shared" ca="1" si="18"/>
        <v>-0.82401069023576046</v>
      </c>
      <c r="E228">
        <f t="shared" ca="1" si="17"/>
        <v>1</v>
      </c>
      <c r="F228" s="4">
        <f t="shared" ca="1" si="15"/>
        <v>7.213173409713125E-2</v>
      </c>
      <c r="G228" s="5">
        <f t="shared" ca="1" si="16"/>
        <v>-0.82401069023576046</v>
      </c>
    </row>
    <row r="229" spans="2:7" x14ac:dyDescent="0.25">
      <c r="B229" s="22">
        <v>224</v>
      </c>
      <c r="C229" s="4">
        <f t="shared" ca="1" si="18"/>
        <v>0.48907876101576897</v>
      </c>
      <c r="D229" s="5">
        <f t="shared" ca="1" si="18"/>
        <v>-0.42378421919890874</v>
      </c>
      <c r="E229">
        <f t="shared" ca="1" si="17"/>
        <v>1</v>
      </c>
      <c r="F229" s="4">
        <f t="shared" ca="1" si="15"/>
        <v>0.48907876101576897</v>
      </c>
      <c r="G229" s="5">
        <f t="shared" ca="1" si="16"/>
        <v>-0.42378421919890874</v>
      </c>
    </row>
    <row r="230" spans="2:7" x14ac:dyDescent="0.25">
      <c r="B230" s="22">
        <v>225</v>
      </c>
      <c r="C230" s="4">
        <f t="shared" ca="1" si="18"/>
        <v>-0.65676757161541865</v>
      </c>
      <c r="D230" s="5">
        <f t="shared" ca="1" si="18"/>
        <v>0.83728206480742196</v>
      </c>
      <c r="E230">
        <f t="shared" ca="1" si="17"/>
        <v>0</v>
      </c>
      <c r="F230" s="4">
        <f t="shared" ca="1" si="15"/>
        <v>0</v>
      </c>
      <c r="G230" s="5">
        <f t="shared" ca="1" si="16"/>
        <v>0</v>
      </c>
    </row>
    <row r="231" spans="2:7" x14ac:dyDescent="0.25">
      <c r="B231" s="22">
        <v>226</v>
      </c>
      <c r="C231" s="4">
        <f t="shared" ca="1" si="18"/>
        <v>-0.29643631372104373</v>
      </c>
      <c r="D231" s="5">
        <f t="shared" ca="1" si="18"/>
        <v>0.94653873319961201</v>
      </c>
      <c r="E231">
        <f t="shared" ca="1" si="17"/>
        <v>1</v>
      </c>
      <c r="F231" s="4">
        <f t="shared" ca="1" si="15"/>
        <v>-0.29643631372104373</v>
      </c>
      <c r="G231" s="5">
        <f t="shared" ca="1" si="16"/>
        <v>0.94653873319961201</v>
      </c>
    </row>
    <row r="232" spans="2:7" x14ac:dyDescent="0.25">
      <c r="B232" s="22">
        <v>227</v>
      </c>
      <c r="C232" s="4">
        <f t="shared" ca="1" si="18"/>
        <v>0.66018279728306695</v>
      </c>
      <c r="D232" s="5">
        <f t="shared" ca="1" si="18"/>
        <v>0.98626659672566364</v>
      </c>
      <c r="E232">
        <f t="shared" ca="1" si="17"/>
        <v>0</v>
      </c>
      <c r="F232" s="4">
        <f t="shared" ca="1" si="15"/>
        <v>0</v>
      </c>
      <c r="G232" s="5">
        <f t="shared" ca="1" si="16"/>
        <v>0</v>
      </c>
    </row>
    <row r="233" spans="2:7" x14ac:dyDescent="0.25">
      <c r="B233" s="22">
        <v>228</v>
      </c>
      <c r="C233" s="4">
        <f t="shared" ca="1" si="18"/>
        <v>-0.58604932488149974</v>
      </c>
      <c r="D233" s="5">
        <f t="shared" ca="1" si="18"/>
        <v>-0.71289667959765857</v>
      </c>
      <c r="E233">
        <f t="shared" ca="1" si="17"/>
        <v>1</v>
      </c>
      <c r="F233" s="4">
        <f t="shared" ca="1" si="15"/>
        <v>-0.58604932488149974</v>
      </c>
      <c r="G233" s="5">
        <f t="shared" ca="1" si="16"/>
        <v>-0.71289667959765857</v>
      </c>
    </row>
    <row r="234" spans="2:7" x14ac:dyDescent="0.25">
      <c r="B234" s="22">
        <v>229</v>
      </c>
      <c r="C234" s="4">
        <f t="shared" ca="1" si="18"/>
        <v>-0.14428833903612603</v>
      </c>
      <c r="D234" s="5">
        <f t="shared" ca="1" si="18"/>
        <v>3.3886023886754435E-2</v>
      </c>
      <c r="E234">
        <f t="shared" ca="1" si="17"/>
        <v>1</v>
      </c>
      <c r="F234" s="4">
        <f t="shared" ca="1" si="15"/>
        <v>-0.14428833903612603</v>
      </c>
      <c r="G234" s="5">
        <f t="shared" ca="1" si="16"/>
        <v>3.3886023886754435E-2</v>
      </c>
    </row>
    <row r="235" spans="2:7" x14ac:dyDescent="0.25">
      <c r="B235" s="22">
        <v>230</v>
      </c>
      <c r="C235" s="4">
        <f t="shared" ca="1" si="18"/>
        <v>-0.2006460528822902</v>
      </c>
      <c r="D235" s="5">
        <f t="shared" ca="1" si="18"/>
        <v>0.31911919798002497</v>
      </c>
      <c r="E235">
        <f t="shared" ca="1" si="17"/>
        <v>1</v>
      </c>
      <c r="F235" s="4">
        <f t="shared" ca="1" si="15"/>
        <v>-0.2006460528822902</v>
      </c>
      <c r="G235" s="5">
        <f t="shared" ca="1" si="16"/>
        <v>0.31911919798002497</v>
      </c>
    </row>
    <row r="236" spans="2:7" x14ac:dyDescent="0.25">
      <c r="B236" s="22">
        <v>231</v>
      </c>
      <c r="C236" s="4">
        <f t="shared" ca="1" si="18"/>
        <v>0.9626566021577061</v>
      </c>
      <c r="D236" s="5">
        <f t="shared" ca="1" si="18"/>
        <v>0.69672413612686501</v>
      </c>
      <c r="E236">
        <f t="shared" ca="1" si="17"/>
        <v>0</v>
      </c>
      <c r="F236" s="4">
        <f t="shared" ca="1" si="15"/>
        <v>0</v>
      </c>
      <c r="G236" s="5">
        <f t="shared" ca="1" si="16"/>
        <v>0</v>
      </c>
    </row>
    <row r="237" spans="2:7" x14ac:dyDescent="0.25">
      <c r="B237" s="22">
        <v>232</v>
      </c>
      <c r="C237" s="4">
        <f t="shared" ca="1" si="18"/>
        <v>-0.33396736631957147</v>
      </c>
      <c r="D237" s="5">
        <f t="shared" ca="1" si="18"/>
        <v>-0.89067563275894246</v>
      </c>
      <c r="E237">
        <f t="shared" ca="1" si="17"/>
        <v>1</v>
      </c>
      <c r="F237" s="4">
        <f t="shared" ca="1" si="15"/>
        <v>-0.33396736631957147</v>
      </c>
      <c r="G237" s="5">
        <f t="shared" ca="1" si="16"/>
        <v>-0.89067563275894246</v>
      </c>
    </row>
    <row r="238" spans="2:7" x14ac:dyDescent="0.25">
      <c r="B238" s="22">
        <v>233</v>
      </c>
      <c r="C238" s="4">
        <f t="shared" ca="1" si="18"/>
        <v>-0.69242989220887785</v>
      </c>
      <c r="D238" s="5">
        <f t="shared" ca="1" si="18"/>
        <v>-0.61253025398566785</v>
      </c>
      <c r="E238">
        <f t="shared" ca="1" si="17"/>
        <v>1</v>
      </c>
      <c r="F238" s="4">
        <f t="shared" ca="1" si="15"/>
        <v>-0.69242989220887785</v>
      </c>
      <c r="G238" s="5">
        <f t="shared" ca="1" si="16"/>
        <v>-0.61253025398566785</v>
      </c>
    </row>
    <row r="239" spans="2:7" x14ac:dyDescent="0.25">
      <c r="B239" s="22">
        <v>234</v>
      </c>
      <c r="C239" s="4">
        <f t="shared" ca="1" si="18"/>
        <v>0.51234021267152952</v>
      </c>
      <c r="D239" s="5">
        <f t="shared" ca="1" si="18"/>
        <v>0.80806132411947851</v>
      </c>
      <c r="E239">
        <f t="shared" ca="1" si="17"/>
        <v>1</v>
      </c>
      <c r="F239" s="4">
        <f t="shared" ca="1" si="15"/>
        <v>0.51234021267152952</v>
      </c>
      <c r="G239" s="5">
        <f t="shared" ca="1" si="16"/>
        <v>0.80806132411947851</v>
      </c>
    </row>
    <row r="240" spans="2:7" x14ac:dyDescent="0.25">
      <c r="B240" s="22">
        <v>235</v>
      </c>
      <c r="C240" s="4">
        <f t="shared" ca="1" si="18"/>
        <v>2.7428793502135784E-2</v>
      </c>
      <c r="D240" s="5">
        <f t="shared" ca="1" si="18"/>
        <v>-0.3486061801882554</v>
      </c>
      <c r="E240">
        <f t="shared" ca="1" si="17"/>
        <v>1</v>
      </c>
      <c r="F240" s="4">
        <f t="shared" ca="1" si="15"/>
        <v>2.7428793502135784E-2</v>
      </c>
      <c r="G240" s="5">
        <f t="shared" ca="1" si="16"/>
        <v>-0.3486061801882554</v>
      </c>
    </row>
    <row r="241" spans="2:7" x14ac:dyDescent="0.25">
      <c r="B241" s="22">
        <v>236</v>
      </c>
      <c r="C241" s="4">
        <f t="shared" ca="1" si="18"/>
        <v>-0.94832507927985321</v>
      </c>
      <c r="D241" s="5">
        <f t="shared" ca="1" si="18"/>
        <v>-0.55044511157910203</v>
      </c>
      <c r="E241">
        <f t="shared" ca="1" si="17"/>
        <v>0</v>
      </c>
      <c r="F241" s="4">
        <f t="shared" ca="1" si="15"/>
        <v>0</v>
      </c>
      <c r="G241" s="5">
        <f t="shared" ca="1" si="16"/>
        <v>0</v>
      </c>
    </row>
    <row r="242" spans="2:7" x14ac:dyDescent="0.25">
      <c r="B242" s="22">
        <v>237</v>
      </c>
      <c r="C242" s="4">
        <f t="shared" ca="1" si="18"/>
        <v>-9.6780187235650406E-2</v>
      </c>
      <c r="D242" s="5">
        <f t="shared" ca="1" si="18"/>
        <v>-2.1019483886335788E-2</v>
      </c>
      <c r="E242">
        <f t="shared" ca="1" si="17"/>
        <v>1</v>
      </c>
      <c r="F242" s="4">
        <f t="shared" ca="1" si="15"/>
        <v>-9.6780187235650406E-2</v>
      </c>
      <c r="G242" s="5">
        <f t="shared" ca="1" si="16"/>
        <v>-2.1019483886335788E-2</v>
      </c>
    </row>
    <row r="243" spans="2:7" x14ac:dyDescent="0.25">
      <c r="B243" s="22">
        <v>238</v>
      </c>
      <c r="C243" s="4">
        <f t="shared" ca="1" si="18"/>
        <v>-0.97085523831796805</v>
      </c>
      <c r="D243" s="5">
        <f t="shared" ca="1" si="18"/>
        <v>0.7952832963900367</v>
      </c>
      <c r="E243">
        <f t="shared" ca="1" si="17"/>
        <v>0</v>
      </c>
      <c r="F243" s="4">
        <f t="shared" ca="1" si="15"/>
        <v>0</v>
      </c>
      <c r="G243" s="5">
        <f t="shared" ca="1" si="16"/>
        <v>0</v>
      </c>
    </row>
    <row r="244" spans="2:7" x14ac:dyDescent="0.25">
      <c r="B244" s="22">
        <v>239</v>
      </c>
      <c r="C244" s="4">
        <f t="shared" ca="1" si="18"/>
        <v>0.80718511570568574</v>
      </c>
      <c r="D244" s="5">
        <f t="shared" ca="1" si="18"/>
        <v>0.75811484789164374</v>
      </c>
      <c r="E244">
        <f t="shared" ca="1" si="17"/>
        <v>0</v>
      </c>
      <c r="F244" s="4">
        <f t="shared" ca="1" si="15"/>
        <v>0</v>
      </c>
      <c r="G244" s="5">
        <f t="shared" ca="1" si="16"/>
        <v>0</v>
      </c>
    </row>
    <row r="245" spans="2:7" x14ac:dyDescent="0.25">
      <c r="B245" s="22">
        <v>240</v>
      </c>
      <c r="C245" s="4">
        <f t="shared" ca="1" si="18"/>
        <v>1.0772496975419266E-2</v>
      </c>
      <c r="D245" s="5">
        <f t="shared" ca="1" si="18"/>
        <v>-0.23399174153721725</v>
      </c>
      <c r="E245">
        <f t="shared" ca="1" si="17"/>
        <v>1</v>
      </c>
      <c r="F245" s="4">
        <f t="shared" ca="1" si="15"/>
        <v>1.0772496975419266E-2</v>
      </c>
      <c r="G245" s="5">
        <f t="shared" ca="1" si="16"/>
        <v>-0.23399174153721725</v>
      </c>
    </row>
    <row r="246" spans="2:7" x14ac:dyDescent="0.25">
      <c r="B246" s="22">
        <v>241</v>
      </c>
      <c r="C246" s="4">
        <f t="shared" ca="1" si="18"/>
        <v>-0.53221861253981317</v>
      </c>
      <c r="D246" s="5">
        <f t="shared" ca="1" si="18"/>
        <v>0.48040295146441281</v>
      </c>
      <c r="E246">
        <f t="shared" ca="1" si="17"/>
        <v>1</v>
      </c>
      <c r="F246" s="4">
        <f t="shared" ca="1" si="15"/>
        <v>-0.53221861253981317</v>
      </c>
      <c r="G246" s="5">
        <f t="shared" ca="1" si="16"/>
        <v>0.48040295146441281</v>
      </c>
    </row>
    <row r="247" spans="2:7" x14ac:dyDescent="0.25">
      <c r="B247" s="22">
        <v>242</v>
      </c>
      <c r="C247" s="4">
        <f t="shared" ca="1" si="18"/>
        <v>0.14415590967220981</v>
      </c>
      <c r="D247" s="5">
        <f t="shared" ca="1" si="18"/>
        <v>0.94712709853100563</v>
      </c>
      <c r="E247">
        <f t="shared" ca="1" si="17"/>
        <v>1</v>
      </c>
      <c r="F247" s="4">
        <f t="shared" ca="1" si="15"/>
        <v>0.14415590967220981</v>
      </c>
      <c r="G247" s="5">
        <f t="shared" ca="1" si="16"/>
        <v>0.94712709853100563</v>
      </c>
    </row>
    <row r="248" spans="2:7" x14ac:dyDescent="0.25">
      <c r="B248" s="22">
        <v>243</v>
      </c>
      <c r="C248" s="4">
        <f t="shared" ca="1" si="18"/>
        <v>-0.78200623618530618</v>
      </c>
      <c r="D248" s="5">
        <f t="shared" ca="1" si="18"/>
        <v>0.22756931320858031</v>
      </c>
      <c r="E248">
        <f t="shared" ca="1" si="17"/>
        <v>1</v>
      </c>
      <c r="F248" s="4">
        <f t="shared" ca="1" si="15"/>
        <v>-0.78200623618530618</v>
      </c>
      <c r="G248" s="5">
        <f t="shared" ca="1" si="16"/>
        <v>0.22756931320858031</v>
      </c>
    </row>
    <row r="249" spans="2:7" x14ac:dyDescent="0.25">
      <c r="B249" s="22">
        <v>244</v>
      </c>
      <c r="C249" s="4">
        <f t="shared" ca="1" si="18"/>
        <v>0.93195002198053345</v>
      </c>
      <c r="D249" s="5">
        <f t="shared" ca="1" si="18"/>
        <v>-0.95785262656434811</v>
      </c>
      <c r="E249">
        <f t="shared" ca="1" si="17"/>
        <v>0</v>
      </c>
      <c r="F249" s="4">
        <f t="shared" ca="1" si="15"/>
        <v>0</v>
      </c>
      <c r="G249" s="5">
        <f t="shared" ca="1" si="16"/>
        <v>0</v>
      </c>
    </row>
    <row r="250" spans="2:7" x14ac:dyDescent="0.25">
      <c r="B250" s="22">
        <v>245</v>
      </c>
      <c r="C250" s="4">
        <f t="shared" ca="1" si="18"/>
        <v>-0.893043523610491</v>
      </c>
      <c r="D250" s="5">
        <f t="shared" ca="1" si="18"/>
        <v>0.87633941820547046</v>
      </c>
      <c r="E250">
        <f t="shared" ca="1" si="17"/>
        <v>0</v>
      </c>
      <c r="F250" s="4">
        <f t="shared" ca="1" si="15"/>
        <v>0</v>
      </c>
      <c r="G250" s="5">
        <f t="shared" ca="1" si="16"/>
        <v>0</v>
      </c>
    </row>
    <row r="251" spans="2:7" x14ac:dyDescent="0.25">
      <c r="B251" s="22">
        <v>246</v>
      </c>
      <c r="C251" s="4">
        <f t="shared" ca="1" si="18"/>
        <v>0.16843000346755299</v>
      </c>
      <c r="D251" s="5">
        <f t="shared" ca="1" si="18"/>
        <v>6.3741742550843306E-2</v>
      </c>
      <c r="E251">
        <f t="shared" ca="1" si="17"/>
        <v>1</v>
      </c>
      <c r="F251" s="4">
        <f t="shared" ca="1" si="15"/>
        <v>0.16843000346755299</v>
      </c>
      <c r="G251" s="5">
        <f t="shared" ca="1" si="16"/>
        <v>6.3741742550843306E-2</v>
      </c>
    </row>
    <row r="252" spans="2:7" x14ac:dyDescent="0.25">
      <c r="B252" s="22">
        <v>247</v>
      </c>
      <c r="C252" s="4">
        <f t="shared" ca="1" si="18"/>
        <v>-0.58088987672587433</v>
      </c>
      <c r="D252" s="5">
        <f t="shared" ca="1" si="18"/>
        <v>0.10528568684316664</v>
      </c>
      <c r="E252">
        <f t="shared" ca="1" si="17"/>
        <v>1</v>
      </c>
      <c r="F252" s="4">
        <f t="shared" ca="1" si="15"/>
        <v>-0.58088987672587433</v>
      </c>
      <c r="G252" s="5">
        <f t="shared" ca="1" si="16"/>
        <v>0.10528568684316664</v>
      </c>
    </row>
    <row r="253" spans="2:7" x14ac:dyDescent="0.25">
      <c r="B253" s="22">
        <v>248</v>
      </c>
      <c r="C253" s="4">
        <f t="shared" ca="1" si="18"/>
        <v>0.94120145711105607</v>
      </c>
      <c r="D253" s="5">
        <f t="shared" ca="1" si="18"/>
        <v>0.23796639370725825</v>
      </c>
      <c r="E253">
        <f t="shared" ca="1" si="17"/>
        <v>1</v>
      </c>
      <c r="F253" s="4">
        <f t="shared" ca="1" si="15"/>
        <v>0.94120145711105607</v>
      </c>
      <c r="G253" s="5">
        <f t="shared" ca="1" si="16"/>
        <v>0.23796639370725825</v>
      </c>
    </row>
    <row r="254" spans="2:7" x14ac:dyDescent="0.25">
      <c r="B254" s="22">
        <v>249</v>
      </c>
      <c r="C254" s="4">
        <f t="shared" ca="1" si="18"/>
        <v>-0.39553126999407273</v>
      </c>
      <c r="D254" s="5">
        <f t="shared" ca="1" si="18"/>
        <v>-0.32281669286623527</v>
      </c>
      <c r="E254">
        <f t="shared" ca="1" si="17"/>
        <v>1</v>
      </c>
      <c r="F254" s="4">
        <f t="shared" ca="1" si="15"/>
        <v>-0.39553126999407273</v>
      </c>
      <c r="G254" s="5">
        <f t="shared" ca="1" si="16"/>
        <v>-0.32281669286623527</v>
      </c>
    </row>
    <row r="255" spans="2:7" x14ac:dyDescent="0.25">
      <c r="B255" s="22">
        <v>250</v>
      </c>
      <c r="C255" s="4">
        <f t="shared" ca="1" si="18"/>
        <v>-0.75565836845477108</v>
      </c>
      <c r="D255" s="5">
        <f t="shared" ca="1" si="18"/>
        <v>-0.23479453695629848</v>
      </c>
      <c r="E255">
        <f t="shared" ca="1" si="17"/>
        <v>1</v>
      </c>
      <c r="F255" s="4">
        <f t="shared" ca="1" si="15"/>
        <v>-0.75565836845477108</v>
      </c>
      <c r="G255" s="5">
        <f t="shared" ca="1" si="16"/>
        <v>-0.23479453695629848</v>
      </c>
    </row>
    <row r="256" spans="2:7" x14ac:dyDescent="0.25">
      <c r="B256" s="22">
        <v>251</v>
      </c>
      <c r="C256" s="4">
        <f t="shared" ca="1" si="18"/>
        <v>0.81948320629582638</v>
      </c>
      <c r="D256" s="5">
        <f t="shared" ca="1" si="18"/>
        <v>4.9205572559290367E-2</v>
      </c>
      <c r="E256">
        <f t="shared" ca="1" si="17"/>
        <v>1</v>
      </c>
      <c r="F256" s="4">
        <f t="shared" ca="1" si="15"/>
        <v>0.81948320629582638</v>
      </c>
      <c r="G256" s="5">
        <f t="shared" ca="1" si="16"/>
        <v>4.9205572559290367E-2</v>
      </c>
    </row>
    <row r="257" spans="2:7" x14ac:dyDescent="0.25">
      <c r="B257" s="22">
        <v>252</v>
      </c>
      <c r="C257" s="4">
        <f t="shared" ca="1" si="18"/>
        <v>-5.1099344791523116E-3</v>
      </c>
      <c r="D257" s="5">
        <f t="shared" ca="1" si="18"/>
        <v>-0.34159200501039333</v>
      </c>
      <c r="E257">
        <f t="shared" ca="1" si="17"/>
        <v>1</v>
      </c>
      <c r="F257" s="4">
        <f t="shared" ca="1" si="15"/>
        <v>-5.1099344791523116E-3</v>
      </c>
      <c r="G257" s="5">
        <f t="shared" ca="1" si="16"/>
        <v>-0.34159200501039333</v>
      </c>
    </row>
    <row r="258" spans="2:7" x14ac:dyDescent="0.25">
      <c r="B258" s="22">
        <v>253</v>
      </c>
      <c r="C258" s="4">
        <f t="shared" ca="1" si="18"/>
        <v>0.33647815510700219</v>
      </c>
      <c r="D258" s="5">
        <f t="shared" ca="1" si="18"/>
        <v>0.50680411363080258</v>
      </c>
      <c r="E258">
        <f t="shared" ca="1" si="17"/>
        <v>1</v>
      </c>
      <c r="F258" s="4">
        <f t="shared" ca="1" si="15"/>
        <v>0.33647815510700219</v>
      </c>
      <c r="G258" s="5">
        <f t="shared" ca="1" si="16"/>
        <v>0.50680411363080258</v>
      </c>
    </row>
    <row r="259" spans="2:7" x14ac:dyDescent="0.25">
      <c r="B259" s="22">
        <v>254</v>
      </c>
      <c r="C259" s="4">
        <f t="shared" ca="1" si="18"/>
        <v>-8.5066309509044702E-2</v>
      </c>
      <c r="D259" s="5">
        <f t="shared" ca="1" si="18"/>
        <v>-0.43171356028126429</v>
      </c>
      <c r="E259">
        <f t="shared" ca="1" si="17"/>
        <v>1</v>
      </c>
      <c r="F259" s="4">
        <f t="shared" ca="1" si="15"/>
        <v>-8.5066309509044702E-2</v>
      </c>
      <c r="G259" s="5">
        <f t="shared" ca="1" si="16"/>
        <v>-0.43171356028126429</v>
      </c>
    </row>
    <row r="260" spans="2:7" x14ac:dyDescent="0.25">
      <c r="B260" s="22">
        <v>255</v>
      </c>
      <c r="C260" s="4">
        <f t="shared" ca="1" si="18"/>
        <v>-0.1829297847294924</v>
      </c>
      <c r="D260" s="5">
        <f t="shared" ca="1" si="18"/>
        <v>-0.5417791524496649</v>
      </c>
      <c r="E260">
        <f t="shared" ca="1" si="17"/>
        <v>1</v>
      </c>
      <c r="F260" s="4">
        <f t="shared" ca="1" si="15"/>
        <v>-0.1829297847294924</v>
      </c>
      <c r="G260" s="5">
        <f t="shared" ca="1" si="16"/>
        <v>-0.5417791524496649</v>
      </c>
    </row>
    <row r="261" spans="2:7" x14ac:dyDescent="0.25">
      <c r="B261" s="22">
        <v>256</v>
      </c>
      <c r="C261" s="4">
        <f t="shared" ca="1" si="18"/>
        <v>-0.27450678865555989</v>
      </c>
      <c r="D261" s="5">
        <f t="shared" ca="1" si="18"/>
        <v>-0.95689590857475082</v>
      </c>
      <c r="E261">
        <f t="shared" ca="1" si="17"/>
        <v>1</v>
      </c>
      <c r="F261" s="4">
        <f t="shared" ca="1" si="15"/>
        <v>-0.27450678865555989</v>
      </c>
      <c r="G261" s="5">
        <f t="shared" ca="1" si="16"/>
        <v>-0.95689590857475082</v>
      </c>
    </row>
    <row r="262" spans="2:7" x14ac:dyDescent="0.25">
      <c r="B262" s="22">
        <v>257</v>
      </c>
      <c r="C262" s="4">
        <f t="shared" ca="1" si="18"/>
        <v>0.27851468215067632</v>
      </c>
      <c r="D262" s="5">
        <f t="shared" ca="1" si="18"/>
        <v>0.22872233224077299</v>
      </c>
      <c r="E262">
        <f t="shared" ca="1" si="17"/>
        <v>1</v>
      </c>
      <c r="F262" s="4">
        <f t="shared" ref="F262:F325" ca="1" si="19">IF((C262^2+D262^2)&lt;1, C262, 0)</f>
        <v>0.27851468215067632</v>
      </c>
      <c r="G262" s="5">
        <f t="shared" ref="G262:G325" ca="1" si="20">IF((C262^2+D262^2)&lt;1, D262, 0)</f>
        <v>0.22872233224077299</v>
      </c>
    </row>
    <row r="263" spans="2:7" x14ac:dyDescent="0.25">
      <c r="B263" s="22">
        <v>258</v>
      </c>
      <c r="C263" s="4">
        <f t="shared" ca="1" si="18"/>
        <v>0.2393196618545359</v>
      </c>
      <c r="D263" s="5">
        <f t="shared" ca="1" si="18"/>
        <v>-0.8909492581297489</v>
      </c>
      <c r="E263">
        <f t="shared" ref="E263:E326" ca="1" si="21">IF(C263^2+D263^2&lt;1, 1, 0)</f>
        <v>1</v>
      </c>
      <c r="F263" s="4">
        <f t="shared" ca="1" si="19"/>
        <v>0.2393196618545359</v>
      </c>
      <c r="G263" s="5">
        <f t="shared" ca="1" si="20"/>
        <v>-0.8909492581297489</v>
      </c>
    </row>
    <row r="264" spans="2:7" x14ac:dyDescent="0.25">
      <c r="B264" s="22">
        <v>259</v>
      </c>
      <c r="C264" s="4">
        <f t="shared" ca="1" si="18"/>
        <v>0.28344121226706176</v>
      </c>
      <c r="D264" s="5">
        <f t="shared" ca="1" si="18"/>
        <v>-0.16559876421244546</v>
      </c>
      <c r="E264">
        <f t="shared" ca="1" si="21"/>
        <v>1</v>
      </c>
      <c r="F264" s="4">
        <f t="shared" ca="1" si="19"/>
        <v>0.28344121226706176</v>
      </c>
      <c r="G264" s="5">
        <f t="shared" ca="1" si="20"/>
        <v>-0.16559876421244546</v>
      </c>
    </row>
    <row r="265" spans="2:7" x14ac:dyDescent="0.25">
      <c r="B265" s="22">
        <v>260</v>
      </c>
      <c r="C265" s="4">
        <f t="shared" ca="1" si="18"/>
        <v>5.7760665232971187E-2</v>
      </c>
      <c r="D265" s="5">
        <f t="shared" ca="1" si="18"/>
        <v>0.17192857402747719</v>
      </c>
      <c r="E265">
        <f t="shared" ca="1" si="21"/>
        <v>1</v>
      </c>
      <c r="F265" s="4">
        <f t="shared" ca="1" si="19"/>
        <v>5.7760665232971187E-2</v>
      </c>
      <c r="G265" s="5">
        <f t="shared" ca="1" si="20"/>
        <v>0.17192857402747719</v>
      </c>
    </row>
    <row r="266" spans="2:7" x14ac:dyDescent="0.25">
      <c r="B266" s="22">
        <v>261</v>
      </c>
      <c r="C266" s="4">
        <f t="shared" ca="1" si="18"/>
        <v>0.25349598207556245</v>
      </c>
      <c r="D266" s="5">
        <f t="shared" ca="1" si="18"/>
        <v>-9.8876757486691114E-2</v>
      </c>
      <c r="E266">
        <f t="shared" ca="1" si="21"/>
        <v>1</v>
      </c>
      <c r="F266" s="4">
        <f t="shared" ca="1" si="19"/>
        <v>0.25349598207556245</v>
      </c>
      <c r="G266" s="5">
        <f t="shared" ca="1" si="20"/>
        <v>-9.8876757486691114E-2</v>
      </c>
    </row>
    <row r="267" spans="2:7" x14ac:dyDescent="0.25">
      <c r="B267" s="22">
        <v>262</v>
      </c>
      <c r="C267" s="4">
        <f t="shared" ca="1" si="18"/>
        <v>-0.82735511268160011</v>
      </c>
      <c r="D267" s="5">
        <f t="shared" ca="1" si="18"/>
        <v>-0.94678871811740639</v>
      </c>
      <c r="E267">
        <f t="shared" ca="1" si="21"/>
        <v>0</v>
      </c>
      <c r="F267" s="4">
        <f t="shared" ca="1" si="19"/>
        <v>0</v>
      </c>
      <c r="G267" s="5">
        <f t="shared" ca="1" si="20"/>
        <v>0</v>
      </c>
    </row>
    <row r="268" spans="2:7" x14ac:dyDescent="0.25">
      <c r="B268" s="22">
        <v>263</v>
      </c>
      <c r="C268" s="4">
        <f t="shared" ca="1" si="18"/>
        <v>-0.77434553132552542</v>
      </c>
      <c r="D268" s="5">
        <f t="shared" ca="1" si="18"/>
        <v>-7.3415691328212906E-2</v>
      </c>
      <c r="E268">
        <f t="shared" ca="1" si="21"/>
        <v>1</v>
      </c>
      <c r="F268" s="4">
        <f t="shared" ca="1" si="19"/>
        <v>-0.77434553132552542</v>
      </c>
      <c r="G268" s="5">
        <f t="shared" ca="1" si="20"/>
        <v>-7.3415691328212906E-2</v>
      </c>
    </row>
    <row r="269" spans="2:7" x14ac:dyDescent="0.25">
      <c r="B269" s="22">
        <v>264</v>
      </c>
      <c r="C269" s="4">
        <f t="shared" ca="1" si="18"/>
        <v>-0.87161241096168229</v>
      </c>
      <c r="D269" s="5">
        <f t="shared" ca="1" si="18"/>
        <v>-0.35075392725479015</v>
      </c>
      <c r="E269">
        <f t="shared" ca="1" si="21"/>
        <v>1</v>
      </c>
      <c r="F269" s="4">
        <f t="shared" ca="1" si="19"/>
        <v>-0.87161241096168229</v>
      </c>
      <c r="G269" s="5">
        <f t="shared" ca="1" si="20"/>
        <v>-0.35075392725479015</v>
      </c>
    </row>
    <row r="270" spans="2:7" x14ac:dyDescent="0.25">
      <c r="B270" s="22">
        <v>265</v>
      </c>
      <c r="C270" s="4">
        <f t="shared" ca="1" si="18"/>
        <v>-0.98135418401554042</v>
      </c>
      <c r="D270" s="5">
        <f t="shared" ca="1" si="18"/>
        <v>0.37130554130306326</v>
      </c>
      <c r="E270">
        <f t="shared" ca="1" si="21"/>
        <v>0</v>
      </c>
      <c r="F270" s="4">
        <f t="shared" ca="1" si="19"/>
        <v>0</v>
      </c>
      <c r="G270" s="5">
        <f t="shared" ca="1" si="20"/>
        <v>0</v>
      </c>
    </row>
    <row r="271" spans="2:7" x14ac:dyDescent="0.25">
      <c r="B271" s="22">
        <v>266</v>
      </c>
      <c r="C271" s="4">
        <f t="shared" ca="1" si="18"/>
        <v>0.38985156417494227</v>
      </c>
      <c r="D271" s="5">
        <f t="shared" ca="1" si="18"/>
        <v>-0.85932675998766639</v>
      </c>
      <c r="E271">
        <f t="shared" ca="1" si="21"/>
        <v>1</v>
      </c>
      <c r="F271" s="4">
        <f t="shared" ca="1" si="19"/>
        <v>0.38985156417494227</v>
      </c>
      <c r="G271" s="5">
        <f t="shared" ca="1" si="20"/>
        <v>-0.85932675998766639</v>
      </c>
    </row>
    <row r="272" spans="2:7" x14ac:dyDescent="0.25">
      <c r="B272" s="22">
        <v>267</v>
      </c>
      <c r="C272" s="4">
        <f t="shared" ca="1" si="18"/>
        <v>-0.89752516956963269</v>
      </c>
      <c r="D272" s="5">
        <f t="shared" ca="1" si="18"/>
        <v>0.16517656211626619</v>
      </c>
      <c r="E272">
        <f t="shared" ca="1" si="21"/>
        <v>1</v>
      </c>
      <c r="F272" s="4">
        <f t="shared" ca="1" si="19"/>
        <v>-0.89752516956963269</v>
      </c>
      <c r="G272" s="5">
        <f t="shared" ca="1" si="20"/>
        <v>0.16517656211626619</v>
      </c>
    </row>
    <row r="273" spans="2:7" x14ac:dyDescent="0.25">
      <c r="B273" s="22">
        <v>268</v>
      </c>
      <c r="C273" s="4">
        <f t="shared" ca="1" si="18"/>
        <v>0.69199859723947332</v>
      </c>
      <c r="D273" s="5">
        <f t="shared" ca="1" si="18"/>
        <v>2.6159503812821505E-2</v>
      </c>
      <c r="E273">
        <f t="shared" ca="1" si="21"/>
        <v>1</v>
      </c>
      <c r="F273" s="4">
        <f t="shared" ca="1" si="19"/>
        <v>0.69199859723947332</v>
      </c>
      <c r="G273" s="5">
        <f t="shared" ca="1" si="20"/>
        <v>2.6159503812821505E-2</v>
      </c>
    </row>
    <row r="274" spans="2:7" x14ac:dyDescent="0.25">
      <c r="B274" s="22">
        <v>269</v>
      </c>
      <c r="C274" s="4">
        <f t="shared" ca="1" si="18"/>
        <v>0.26964456206574039</v>
      </c>
      <c r="D274" s="5">
        <f t="shared" ca="1" si="18"/>
        <v>0.69921608683701142</v>
      </c>
      <c r="E274">
        <f t="shared" ca="1" si="21"/>
        <v>1</v>
      </c>
      <c r="F274" s="4">
        <f t="shared" ca="1" si="19"/>
        <v>0.26964456206574039</v>
      </c>
      <c r="G274" s="5">
        <f t="shared" ca="1" si="20"/>
        <v>0.69921608683701142</v>
      </c>
    </row>
    <row r="275" spans="2:7" x14ac:dyDescent="0.25">
      <c r="B275" s="22">
        <v>270</v>
      </c>
      <c r="C275" s="4">
        <f t="shared" ca="1" si="18"/>
        <v>-0.38532399832074282</v>
      </c>
      <c r="D275" s="5">
        <f t="shared" ca="1" si="18"/>
        <v>3.7032856225939659E-2</v>
      </c>
      <c r="E275">
        <f t="shared" ca="1" si="21"/>
        <v>1</v>
      </c>
      <c r="F275" s="4">
        <f t="shared" ca="1" si="19"/>
        <v>-0.38532399832074282</v>
      </c>
      <c r="G275" s="5">
        <f t="shared" ca="1" si="20"/>
        <v>3.7032856225939659E-2</v>
      </c>
    </row>
    <row r="276" spans="2:7" x14ac:dyDescent="0.25">
      <c r="B276" s="22">
        <v>271</v>
      </c>
      <c r="C276" s="4">
        <f t="shared" ca="1" si="18"/>
        <v>-0.56643309260169938</v>
      </c>
      <c r="D276" s="5">
        <f t="shared" ca="1" si="18"/>
        <v>0.16059536914819628</v>
      </c>
      <c r="E276">
        <f t="shared" ca="1" si="21"/>
        <v>1</v>
      </c>
      <c r="F276" s="4">
        <f t="shared" ca="1" si="19"/>
        <v>-0.56643309260169938</v>
      </c>
      <c r="G276" s="5">
        <f t="shared" ca="1" si="20"/>
        <v>0.16059536914819628</v>
      </c>
    </row>
    <row r="277" spans="2:7" x14ac:dyDescent="0.25">
      <c r="B277" s="22">
        <v>272</v>
      </c>
      <c r="C277" s="4">
        <f t="shared" ca="1" si="18"/>
        <v>0.25462326382857037</v>
      </c>
      <c r="D277" s="5">
        <f t="shared" ca="1" si="18"/>
        <v>0.88392355804402767</v>
      </c>
      <c r="E277">
        <f t="shared" ca="1" si="21"/>
        <v>1</v>
      </c>
      <c r="F277" s="4">
        <f t="shared" ca="1" si="19"/>
        <v>0.25462326382857037</v>
      </c>
      <c r="G277" s="5">
        <f t="shared" ca="1" si="20"/>
        <v>0.88392355804402767</v>
      </c>
    </row>
    <row r="278" spans="2:7" x14ac:dyDescent="0.25">
      <c r="B278" s="22">
        <v>273</v>
      </c>
      <c r="C278" s="4">
        <f t="shared" ca="1" si="18"/>
        <v>-0.61640967610476816</v>
      </c>
      <c r="D278" s="5">
        <f t="shared" ca="1" si="18"/>
        <v>4.157959935412503E-2</v>
      </c>
      <c r="E278">
        <f t="shared" ca="1" si="21"/>
        <v>1</v>
      </c>
      <c r="F278" s="4">
        <f t="shared" ca="1" si="19"/>
        <v>-0.61640967610476816</v>
      </c>
      <c r="G278" s="5">
        <f t="shared" ca="1" si="20"/>
        <v>4.157959935412503E-2</v>
      </c>
    </row>
    <row r="279" spans="2:7" x14ac:dyDescent="0.25">
      <c r="B279" s="22">
        <v>274</v>
      </c>
      <c r="C279" s="4">
        <f t="shared" ref="C279:D342" ca="1" si="22">1-2*RAND()</f>
        <v>-6.064838645353654E-2</v>
      </c>
      <c r="D279" s="5">
        <f t="shared" ca="1" si="22"/>
        <v>3.2522365981594747E-2</v>
      </c>
      <c r="E279">
        <f t="shared" ca="1" si="21"/>
        <v>1</v>
      </c>
      <c r="F279" s="4">
        <f t="shared" ca="1" si="19"/>
        <v>-6.064838645353654E-2</v>
      </c>
      <c r="G279" s="5">
        <f t="shared" ca="1" si="20"/>
        <v>3.2522365981594747E-2</v>
      </c>
    </row>
    <row r="280" spans="2:7" x14ac:dyDescent="0.25">
      <c r="B280" s="22">
        <v>275</v>
      </c>
      <c r="C280" s="4">
        <f t="shared" ca="1" si="22"/>
        <v>-1.4023182746643714E-2</v>
      </c>
      <c r="D280" s="5">
        <f t="shared" ca="1" si="22"/>
        <v>-0.70351426264648054</v>
      </c>
      <c r="E280">
        <f t="shared" ca="1" si="21"/>
        <v>1</v>
      </c>
      <c r="F280" s="4">
        <f t="shared" ca="1" si="19"/>
        <v>-1.4023182746643714E-2</v>
      </c>
      <c r="G280" s="5">
        <f t="shared" ca="1" si="20"/>
        <v>-0.70351426264648054</v>
      </c>
    </row>
    <row r="281" spans="2:7" x14ac:dyDescent="0.25">
      <c r="B281" s="22">
        <v>276</v>
      </c>
      <c r="C281" s="4">
        <f t="shared" ca="1" si="22"/>
        <v>-0.42159519639194132</v>
      </c>
      <c r="D281" s="5">
        <f t="shared" ca="1" si="22"/>
        <v>0.42319818816512766</v>
      </c>
      <c r="E281">
        <f t="shared" ca="1" si="21"/>
        <v>1</v>
      </c>
      <c r="F281" s="4">
        <f t="shared" ca="1" si="19"/>
        <v>-0.42159519639194132</v>
      </c>
      <c r="G281" s="5">
        <f t="shared" ca="1" si="20"/>
        <v>0.42319818816512766</v>
      </c>
    </row>
    <row r="282" spans="2:7" x14ac:dyDescent="0.25">
      <c r="B282" s="22">
        <v>277</v>
      </c>
      <c r="C282" s="4">
        <f t="shared" ca="1" si="22"/>
        <v>-0.9497838393424971</v>
      </c>
      <c r="D282" s="5">
        <f t="shared" ca="1" si="22"/>
        <v>-0.22421614405167256</v>
      </c>
      <c r="E282">
        <f t="shared" ca="1" si="21"/>
        <v>1</v>
      </c>
      <c r="F282" s="4">
        <f t="shared" ca="1" si="19"/>
        <v>-0.9497838393424971</v>
      </c>
      <c r="G282" s="5">
        <f t="shared" ca="1" si="20"/>
        <v>-0.22421614405167256</v>
      </c>
    </row>
    <row r="283" spans="2:7" x14ac:dyDescent="0.25">
      <c r="B283" s="22">
        <v>278</v>
      </c>
      <c r="C283" s="4">
        <f t="shared" ca="1" si="22"/>
        <v>-0.9289383015878987</v>
      </c>
      <c r="D283" s="5">
        <f t="shared" ca="1" si="22"/>
        <v>0.18375576436100771</v>
      </c>
      <c r="E283">
        <f t="shared" ca="1" si="21"/>
        <v>1</v>
      </c>
      <c r="F283" s="4">
        <f t="shared" ca="1" si="19"/>
        <v>-0.9289383015878987</v>
      </c>
      <c r="G283" s="5">
        <f t="shared" ca="1" si="20"/>
        <v>0.18375576436100771</v>
      </c>
    </row>
    <row r="284" spans="2:7" x14ac:dyDescent="0.25">
      <c r="B284" s="22">
        <v>279</v>
      </c>
      <c r="C284" s="4">
        <f t="shared" ca="1" si="22"/>
        <v>0.37756057133686194</v>
      </c>
      <c r="D284" s="5">
        <f t="shared" ca="1" si="22"/>
        <v>0.30888694389044535</v>
      </c>
      <c r="E284">
        <f t="shared" ca="1" si="21"/>
        <v>1</v>
      </c>
      <c r="F284" s="4">
        <f t="shared" ca="1" si="19"/>
        <v>0.37756057133686194</v>
      </c>
      <c r="G284" s="5">
        <f t="shared" ca="1" si="20"/>
        <v>0.30888694389044535</v>
      </c>
    </row>
    <row r="285" spans="2:7" x14ac:dyDescent="0.25">
      <c r="B285" s="22">
        <v>280</v>
      </c>
      <c r="C285" s="4">
        <f t="shared" ca="1" si="22"/>
        <v>0.7906262461829312</v>
      </c>
      <c r="D285" s="5">
        <f t="shared" ca="1" si="22"/>
        <v>0.422991719017348</v>
      </c>
      <c r="E285">
        <f t="shared" ca="1" si="21"/>
        <v>1</v>
      </c>
      <c r="F285" s="4">
        <f t="shared" ca="1" si="19"/>
        <v>0.7906262461829312</v>
      </c>
      <c r="G285" s="5">
        <f t="shared" ca="1" si="20"/>
        <v>0.422991719017348</v>
      </c>
    </row>
    <row r="286" spans="2:7" x14ac:dyDescent="0.25">
      <c r="B286" s="22">
        <v>281</v>
      </c>
      <c r="C286" s="4">
        <f t="shared" ca="1" si="22"/>
        <v>-0.91178536930224374</v>
      </c>
      <c r="D286" s="5">
        <f t="shared" ca="1" si="22"/>
        <v>-0.82962707676854719</v>
      </c>
      <c r="E286">
        <f t="shared" ca="1" si="21"/>
        <v>0</v>
      </c>
      <c r="F286" s="4">
        <f t="shared" ca="1" si="19"/>
        <v>0</v>
      </c>
      <c r="G286" s="5">
        <f t="shared" ca="1" si="20"/>
        <v>0</v>
      </c>
    </row>
    <row r="287" spans="2:7" x14ac:dyDescent="0.25">
      <c r="B287" s="22">
        <v>282</v>
      </c>
      <c r="C287" s="4">
        <f t="shared" ca="1" si="22"/>
        <v>-0.9721437985664847</v>
      </c>
      <c r="D287" s="5">
        <f t="shared" ca="1" si="22"/>
        <v>0.56574803905437898</v>
      </c>
      <c r="E287">
        <f t="shared" ca="1" si="21"/>
        <v>0</v>
      </c>
      <c r="F287" s="4">
        <f t="shared" ca="1" si="19"/>
        <v>0</v>
      </c>
      <c r="G287" s="5">
        <f t="shared" ca="1" si="20"/>
        <v>0</v>
      </c>
    </row>
    <row r="288" spans="2:7" x14ac:dyDescent="0.25">
      <c r="B288" s="22">
        <v>283</v>
      </c>
      <c r="C288" s="4">
        <f t="shared" ca="1" si="22"/>
        <v>-0.52246668885562619</v>
      </c>
      <c r="D288" s="5">
        <f t="shared" ca="1" si="22"/>
        <v>0.2431971177658272</v>
      </c>
      <c r="E288">
        <f t="shared" ca="1" si="21"/>
        <v>1</v>
      </c>
      <c r="F288" s="4">
        <f t="shared" ca="1" si="19"/>
        <v>-0.52246668885562619</v>
      </c>
      <c r="G288" s="5">
        <f t="shared" ca="1" si="20"/>
        <v>0.2431971177658272</v>
      </c>
    </row>
    <row r="289" spans="2:7" x14ac:dyDescent="0.25">
      <c r="B289" s="22">
        <v>284</v>
      </c>
      <c r="C289" s="4">
        <f t="shared" ca="1" si="22"/>
        <v>0.8160265495420731</v>
      </c>
      <c r="D289" s="5">
        <f t="shared" ca="1" si="22"/>
        <v>-4.2744003166577116E-2</v>
      </c>
      <c r="E289">
        <f t="shared" ca="1" si="21"/>
        <v>1</v>
      </c>
      <c r="F289" s="4">
        <f t="shared" ca="1" si="19"/>
        <v>0.8160265495420731</v>
      </c>
      <c r="G289" s="5">
        <f t="shared" ca="1" si="20"/>
        <v>-4.2744003166577116E-2</v>
      </c>
    </row>
    <row r="290" spans="2:7" x14ac:dyDescent="0.25">
      <c r="B290" s="22">
        <v>285</v>
      </c>
      <c r="C290" s="4">
        <f t="shared" ca="1" si="22"/>
        <v>0.42723821621826819</v>
      </c>
      <c r="D290" s="5">
        <f t="shared" ca="1" si="22"/>
        <v>-0.72820895610551117</v>
      </c>
      <c r="E290">
        <f t="shared" ca="1" si="21"/>
        <v>1</v>
      </c>
      <c r="F290" s="4">
        <f t="shared" ca="1" si="19"/>
        <v>0.42723821621826819</v>
      </c>
      <c r="G290" s="5">
        <f t="shared" ca="1" si="20"/>
        <v>-0.72820895610551117</v>
      </c>
    </row>
    <row r="291" spans="2:7" x14ac:dyDescent="0.25">
      <c r="B291" s="22">
        <v>286</v>
      </c>
      <c r="C291" s="4">
        <f t="shared" ca="1" si="22"/>
        <v>-0.75846870163427593</v>
      </c>
      <c r="D291" s="5">
        <f t="shared" ca="1" si="22"/>
        <v>-0.73500333862039136</v>
      </c>
      <c r="E291">
        <f t="shared" ca="1" si="21"/>
        <v>0</v>
      </c>
      <c r="F291" s="4">
        <f t="shared" ca="1" si="19"/>
        <v>0</v>
      </c>
      <c r="G291" s="5">
        <f t="shared" ca="1" si="20"/>
        <v>0</v>
      </c>
    </row>
    <row r="292" spans="2:7" x14ac:dyDescent="0.25">
      <c r="B292" s="22">
        <v>287</v>
      </c>
      <c r="C292" s="4">
        <f t="shared" ca="1" si="22"/>
        <v>0.81655104852216343</v>
      </c>
      <c r="D292" s="5">
        <f t="shared" ca="1" si="22"/>
        <v>0.88440980436341432</v>
      </c>
      <c r="E292">
        <f t="shared" ca="1" si="21"/>
        <v>0</v>
      </c>
      <c r="F292" s="4">
        <f t="shared" ca="1" si="19"/>
        <v>0</v>
      </c>
      <c r="G292" s="5">
        <f t="shared" ca="1" si="20"/>
        <v>0</v>
      </c>
    </row>
    <row r="293" spans="2:7" x14ac:dyDescent="0.25">
      <c r="B293" s="22">
        <v>288</v>
      </c>
      <c r="C293" s="4">
        <f t="shared" ca="1" si="22"/>
        <v>0.1582812330015646</v>
      </c>
      <c r="D293" s="5">
        <f t="shared" ca="1" si="22"/>
        <v>-0.69703803295875155</v>
      </c>
      <c r="E293">
        <f t="shared" ca="1" si="21"/>
        <v>1</v>
      </c>
      <c r="F293" s="4">
        <f t="shared" ca="1" si="19"/>
        <v>0.1582812330015646</v>
      </c>
      <c r="G293" s="5">
        <f t="shared" ca="1" si="20"/>
        <v>-0.69703803295875155</v>
      </c>
    </row>
    <row r="294" spans="2:7" x14ac:dyDescent="0.25">
      <c r="B294" s="22">
        <v>289</v>
      </c>
      <c r="C294" s="4">
        <f t="shared" ca="1" si="22"/>
        <v>0.48309922836874031</v>
      </c>
      <c r="D294" s="5">
        <f t="shared" ca="1" si="22"/>
        <v>-0.78681241491269027</v>
      </c>
      <c r="E294">
        <f t="shared" ca="1" si="21"/>
        <v>1</v>
      </c>
      <c r="F294" s="4">
        <f t="shared" ca="1" si="19"/>
        <v>0.48309922836874031</v>
      </c>
      <c r="G294" s="5">
        <f t="shared" ca="1" si="20"/>
        <v>-0.78681241491269027</v>
      </c>
    </row>
    <row r="295" spans="2:7" x14ac:dyDescent="0.25">
      <c r="B295" s="22">
        <v>290</v>
      </c>
      <c r="C295" s="4">
        <f t="shared" ca="1" si="22"/>
        <v>-0.81500287259411253</v>
      </c>
      <c r="D295" s="5">
        <f t="shared" ca="1" si="22"/>
        <v>0.1002803530895644</v>
      </c>
      <c r="E295">
        <f t="shared" ca="1" si="21"/>
        <v>1</v>
      </c>
      <c r="F295" s="4">
        <f t="shared" ca="1" si="19"/>
        <v>-0.81500287259411253</v>
      </c>
      <c r="G295" s="5">
        <f t="shared" ca="1" si="20"/>
        <v>0.1002803530895644</v>
      </c>
    </row>
    <row r="296" spans="2:7" x14ac:dyDescent="0.25">
      <c r="B296" s="22">
        <v>291</v>
      </c>
      <c r="C296" s="4">
        <f t="shared" ca="1" si="22"/>
        <v>-0.44710231657147204</v>
      </c>
      <c r="D296" s="5">
        <f t="shared" ca="1" si="22"/>
        <v>0.57123500198899357</v>
      </c>
      <c r="E296">
        <f t="shared" ca="1" si="21"/>
        <v>1</v>
      </c>
      <c r="F296" s="4">
        <f t="shared" ca="1" si="19"/>
        <v>-0.44710231657147204</v>
      </c>
      <c r="G296" s="5">
        <f t="shared" ca="1" si="20"/>
        <v>0.57123500198899357</v>
      </c>
    </row>
    <row r="297" spans="2:7" x14ac:dyDescent="0.25">
      <c r="B297" s="22">
        <v>292</v>
      </c>
      <c r="C297" s="4">
        <f t="shared" ca="1" si="22"/>
        <v>0.41640284621733481</v>
      </c>
      <c r="D297" s="5">
        <f t="shared" ca="1" si="22"/>
        <v>-3.9801769344298021E-2</v>
      </c>
      <c r="E297">
        <f t="shared" ca="1" si="21"/>
        <v>1</v>
      </c>
      <c r="F297" s="4">
        <f t="shared" ca="1" si="19"/>
        <v>0.41640284621733481</v>
      </c>
      <c r="G297" s="5">
        <f t="shared" ca="1" si="20"/>
        <v>-3.9801769344298021E-2</v>
      </c>
    </row>
    <row r="298" spans="2:7" x14ac:dyDescent="0.25">
      <c r="B298" s="22">
        <v>293</v>
      </c>
      <c r="C298" s="4">
        <f t="shared" ca="1" si="22"/>
        <v>-0.60814997183740038</v>
      </c>
      <c r="D298" s="5">
        <f t="shared" ca="1" si="22"/>
        <v>-0.18778366385865297</v>
      </c>
      <c r="E298">
        <f t="shared" ca="1" si="21"/>
        <v>1</v>
      </c>
      <c r="F298" s="4">
        <f t="shared" ca="1" si="19"/>
        <v>-0.60814997183740038</v>
      </c>
      <c r="G298" s="5">
        <f t="shared" ca="1" si="20"/>
        <v>-0.18778366385865297</v>
      </c>
    </row>
    <row r="299" spans="2:7" x14ac:dyDescent="0.25">
      <c r="B299" s="22">
        <v>294</v>
      </c>
      <c r="C299" s="4">
        <f t="shared" ca="1" si="22"/>
        <v>0.83895305938661457</v>
      </c>
      <c r="D299" s="5">
        <f t="shared" ca="1" si="22"/>
        <v>-0.17806313683640362</v>
      </c>
      <c r="E299">
        <f t="shared" ca="1" si="21"/>
        <v>1</v>
      </c>
      <c r="F299" s="4">
        <f t="shared" ca="1" si="19"/>
        <v>0.83895305938661457</v>
      </c>
      <c r="G299" s="5">
        <f t="shared" ca="1" si="20"/>
        <v>-0.17806313683640362</v>
      </c>
    </row>
    <row r="300" spans="2:7" x14ac:dyDescent="0.25">
      <c r="B300" s="22">
        <v>295</v>
      </c>
      <c r="C300" s="4">
        <f t="shared" ca="1" si="22"/>
        <v>0.79470579233201688</v>
      </c>
      <c r="D300" s="5">
        <f t="shared" ca="1" si="22"/>
        <v>0.43545862363834975</v>
      </c>
      <c r="E300">
        <f t="shared" ca="1" si="21"/>
        <v>1</v>
      </c>
      <c r="F300" s="4">
        <f t="shared" ca="1" si="19"/>
        <v>0.79470579233201688</v>
      </c>
      <c r="G300" s="5">
        <f t="shared" ca="1" si="20"/>
        <v>0.43545862363834975</v>
      </c>
    </row>
    <row r="301" spans="2:7" x14ac:dyDescent="0.25">
      <c r="B301" s="22">
        <v>296</v>
      </c>
      <c r="C301" s="4">
        <f t="shared" ca="1" si="22"/>
        <v>0.74911368171216886</v>
      </c>
      <c r="D301" s="5">
        <f t="shared" ca="1" si="22"/>
        <v>-0.27904246790869025</v>
      </c>
      <c r="E301">
        <f t="shared" ca="1" si="21"/>
        <v>1</v>
      </c>
      <c r="F301" s="4">
        <f t="shared" ca="1" si="19"/>
        <v>0.74911368171216886</v>
      </c>
      <c r="G301" s="5">
        <f t="shared" ca="1" si="20"/>
        <v>-0.27904246790869025</v>
      </c>
    </row>
    <row r="302" spans="2:7" x14ac:dyDescent="0.25">
      <c r="B302" s="22">
        <v>297</v>
      </c>
      <c r="C302" s="4">
        <f t="shared" ca="1" si="22"/>
        <v>-0.94701760315357308</v>
      </c>
      <c r="D302" s="5">
        <f t="shared" ca="1" si="22"/>
        <v>-8.0316366067202161E-2</v>
      </c>
      <c r="E302">
        <f t="shared" ca="1" si="21"/>
        <v>1</v>
      </c>
      <c r="F302" s="4">
        <f t="shared" ca="1" si="19"/>
        <v>-0.94701760315357308</v>
      </c>
      <c r="G302" s="5">
        <f t="shared" ca="1" si="20"/>
        <v>-8.0316366067202161E-2</v>
      </c>
    </row>
    <row r="303" spans="2:7" x14ac:dyDescent="0.25">
      <c r="B303" s="22">
        <v>298</v>
      </c>
      <c r="C303" s="4">
        <f t="shared" ca="1" si="22"/>
        <v>4.4093672558698227E-2</v>
      </c>
      <c r="D303" s="5">
        <f t="shared" ca="1" si="22"/>
        <v>-0.75434518596670275</v>
      </c>
      <c r="E303">
        <f t="shared" ca="1" si="21"/>
        <v>1</v>
      </c>
      <c r="F303" s="4">
        <f t="shared" ca="1" si="19"/>
        <v>4.4093672558698227E-2</v>
      </c>
      <c r="G303" s="5">
        <f t="shared" ca="1" si="20"/>
        <v>-0.75434518596670275</v>
      </c>
    </row>
    <row r="304" spans="2:7" x14ac:dyDescent="0.25">
      <c r="B304" s="22">
        <v>299</v>
      </c>
      <c r="C304" s="4">
        <f t="shared" ca="1" si="22"/>
        <v>-0.22476007288130373</v>
      </c>
      <c r="D304" s="5">
        <f t="shared" ca="1" si="22"/>
        <v>5.4384232127465237E-2</v>
      </c>
      <c r="E304">
        <f t="shared" ca="1" si="21"/>
        <v>1</v>
      </c>
      <c r="F304" s="4">
        <f t="shared" ca="1" si="19"/>
        <v>-0.22476007288130373</v>
      </c>
      <c r="G304" s="5">
        <f t="shared" ca="1" si="20"/>
        <v>5.4384232127465237E-2</v>
      </c>
    </row>
    <row r="305" spans="2:7" x14ac:dyDescent="0.25">
      <c r="B305" s="22">
        <v>300</v>
      </c>
      <c r="C305" s="4">
        <f t="shared" ca="1" si="22"/>
        <v>0.88252018586011549</v>
      </c>
      <c r="D305" s="5">
        <f t="shared" ca="1" si="22"/>
        <v>-0.29449940554401932</v>
      </c>
      <c r="E305">
        <f t="shared" ca="1" si="21"/>
        <v>1</v>
      </c>
      <c r="F305" s="4">
        <f t="shared" ca="1" si="19"/>
        <v>0.88252018586011549</v>
      </c>
      <c r="G305" s="5">
        <f t="shared" ca="1" si="20"/>
        <v>-0.29449940554401932</v>
      </c>
    </row>
    <row r="306" spans="2:7" x14ac:dyDescent="0.25">
      <c r="B306" s="22">
        <v>301</v>
      </c>
      <c r="C306" s="4">
        <f t="shared" ca="1" si="22"/>
        <v>-0.98186496065499274</v>
      </c>
      <c r="D306" s="5">
        <f t="shared" ca="1" si="22"/>
        <v>-0.22931235964910113</v>
      </c>
      <c r="E306">
        <f t="shared" ca="1" si="21"/>
        <v>0</v>
      </c>
      <c r="F306" s="4">
        <f t="shared" ca="1" si="19"/>
        <v>0</v>
      </c>
      <c r="G306" s="5">
        <f t="shared" ca="1" si="20"/>
        <v>0</v>
      </c>
    </row>
    <row r="307" spans="2:7" x14ac:dyDescent="0.25">
      <c r="B307" s="22">
        <v>302</v>
      </c>
      <c r="C307" s="4">
        <f t="shared" ca="1" si="22"/>
        <v>-0.71348233272529504</v>
      </c>
      <c r="D307" s="5">
        <f t="shared" ca="1" si="22"/>
        <v>6.0033180688977117E-2</v>
      </c>
      <c r="E307">
        <f t="shared" ca="1" si="21"/>
        <v>1</v>
      </c>
      <c r="F307" s="4">
        <f t="shared" ca="1" si="19"/>
        <v>-0.71348233272529504</v>
      </c>
      <c r="G307" s="5">
        <f t="shared" ca="1" si="20"/>
        <v>6.0033180688977117E-2</v>
      </c>
    </row>
    <row r="308" spans="2:7" x14ac:dyDescent="0.25">
      <c r="B308" s="22">
        <v>303</v>
      </c>
      <c r="C308" s="4">
        <f t="shared" ca="1" si="22"/>
        <v>-0.11989511251521479</v>
      </c>
      <c r="D308" s="5">
        <f t="shared" ca="1" si="22"/>
        <v>0.86814252879149589</v>
      </c>
      <c r="E308">
        <f t="shared" ca="1" si="21"/>
        <v>1</v>
      </c>
      <c r="F308" s="4">
        <f t="shared" ca="1" si="19"/>
        <v>-0.11989511251521479</v>
      </c>
      <c r="G308" s="5">
        <f t="shared" ca="1" si="20"/>
        <v>0.86814252879149589</v>
      </c>
    </row>
    <row r="309" spans="2:7" x14ac:dyDescent="0.25">
      <c r="B309" s="22">
        <v>304</v>
      </c>
      <c r="C309" s="4">
        <f t="shared" ca="1" si="22"/>
        <v>-0.98569774940979049</v>
      </c>
      <c r="D309" s="5">
        <f t="shared" ca="1" si="22"/>
        <v>0.36852972433866382</v>
      </c>
      <c r="E309">
        <f t="shared" ca="1" si="21"/>
        <v>0</v>
      </c>
      <c r="F309" s="4">
        <f t="shared" ca="1" si="19"/>
        <v>0</v>
      </c>
      <c r="G309" s="5">
        <f t="shared" ca="1" si="20"/>
        <v>0</v>
      </c>
    </row>
    <row r="310" spans="2:7" x14ac:dyDescent="0.25">
      <c r="B310" s="22">
        <v>305</v>
      </c>
      <c r="C310" s="4">
        <f t="shared" ca="1" si="22"/>
        <v>0.47913351836973872</v>
      </c>
      <c r="D310" s="5">
        <f t="shared" ca="1" si="22"/>
        <v>0.1339224588043737</v>
      </c>
      <c r="E310">
        <f t="shared" ca="1" si="21"/>
        <v>1</v>
      </c>
      <c r="F310" s="4">
        <f t="shared" ca="1" si="19"/>
        <v>0.47913351836973872</v>
      </c>
      <c r="G310" s="5">
        <f t="shared" ca="1" si="20"/>
        <v>0.1339224588043737</v>
      </c>
    </row>
    <row r="311" spans="2:7" x14ac:dyDescent="0.25">
      <c r="B311" s="22">
        <v>306</v>
      </c>
      <c r="C311" s="4">
        <f t="shared" ca="1" si="22"/>
        <v>-0.84007577354067275</v>
      </c>
      <c r="D311" s="5">
        <f t="shared" ca="1" si="22"/>
        <v>-0.64343160419306566</v>
      </c>
      <c r="E311">
        <f t="shared" ca="1" si="21"/>
        <v>0</v>
      </c>
      <c r="F311" s="4">
        <f t="shared" ca="1" si="19"/>
        <v>0</v>
      </c>
      <c r="G311" s="5">
        <f t="shared" ca="1" si="20"/>
        <v>0</v>
      </c>
    </row>
    <row r="312" spans="2:7" x14ac:dyDescent="0.25">
      <c r="B312" s="22">
        <v>307</v>
      </c>
      <c r="C312" s="4">
        <f t="shared" ca="1" si="22"/>
        <v>0.10195417358479153</v>
      </c>
      <c r="D312" s="5">
        <f t="shared" ca="1" si="22"/>
        <v>0.94903365123823513</v>
      </c>
      <c r="E312">
        <f t="shared" ca="1" si="21"/>
        <v>1</v>
      </c>
      <c r="F312" s="4">
        <f t="shared" ca="1" si="19"/>
        <v>0.10195417358479153</v>
      </c>
      <c r="G312" s="5">
        <f t="shared" ca="1" si="20"/>
        <v>0.94903365123823513</v>
      </c>
    </row>
    <row r="313" spans="2:7" x14ac:dyDescent="0.25">
      <c r="B313" s="22">
        <v>308</v>
      </c>
      <c r="C313" s="4">
        <f t="shared" ca="1" si="22"/>
        <v>0.47939855361639405</v>
      </c>
      <c r="D313" s="5">
        <f t="shared" ca="1" si="22"/>
        <v>-0.40349292054666863</v>
      </c>
      <c r="E313">
        <f t="shared" ca="1" si="21"/>
        <v>1</v>
      </c>
      <c r="F313" s="4">
        <f t="shared" ca="1" si="19"/>
        <v>0.47939855361639405</v>
      </c>
      <c r="G313" s="5">
        <f t="shared" ca="1" si="20"/>
        <v>-0.40349292054666863</v>
      </c>
    </row>
    <row r="314" spans="2:7" x14ac:dyDescent="0.25">
      <c r="B314" s="22">
        <v>309</v>
      </c>
      <c r="C314" s="4">
        <f t="shared" ca="1" si="22"/>
        <v>0.74997586527170368</v>
      </c>
      <c r="D314" s="5">
        <f t="shared" ca="1" si="22"/>
        <v>0.2652795019703309</v>
      </c>
      <c r="E314">
        <f t="shared" ca="1" si="21"/>
        <v>1</v>
      </c>
      <c r="F314" s="4">
        <f t="shared" ca="1" si="19"/>
        <v>0.74997586527170368</v>
      </c>
      <c r="G314" s="5">
        <f t="shared" ca="1" si="20"/>
        <v>0.2652795019703309</v>
      </c>
    </row>
    <row r="315" spans="2:7" x14ac:dyDescent="0.25">
      <c r="B315" s="22">
        <v>310</v>
      </c>
      <c r="C315" s="4">
        <f t="shared" ca="1" si="22"/>
        <v>0.72244898438375915</v>
      </c>
      <c r="D315" s="5">
        <f t="shared" ca="1" si="22"/>
        <v>-0.86293614796028062</v>
      </c>
      <c r="E315">
        <f t="shared" ca="1" si="21"/>
        <v>0</v>
      </c>
      <c r="F315" s="4">
        <f t="shared" ca="1" si="19"/>
        <v>0</v>
      </c>
      <c r="G315" s="5">
        <f t="shared" ca="1" si="20"/>
        <v>0</v>
      </c>
    </row>
    <row r="316" spans="2:7" x14ac:dyDescent="0.25">
      <c r="B316" s="22">
        <v>311</v>
      </c>
      <c r="C316" s="4">
        <f t="shared" ca="1" si="22"/>
        <v>0.5116331041141744</v>
      </c>
      <c r="D316" s="5">
        <f t="shared" ca="1" si="22"/>
        <v>-0.2565702086886803</v>
      </c>
      <c r="E316">
        <f t="shared" ca="1" si="21"/>
        <v>1</v>
      </c>
      <c r="F316" s="4">
        <f t="shared" ca="1" si="19"/>
        <v>0.5116331041141744</v>
      </c>
      <c r="G316" s="5">
        <f t="shared" ca="1" si="20"/>
        <v>-0.2565702086886803</v>
      </c>
    </row>
    <row r="317" spans="2:7" x14ac:dyDescent="0.25">
      <c r="B317" s="22">
        <v>312</v>
      </c>
      <c r="C317" s="4">
        <f t="shared" ca="1" si="22"/>
        <v>-0.74216597502374593</v>
      </c>
      <c r="D317" s="5">
        <f t="shared" ca="1" si="22"/>
        <v>-0.51384729373676863</v>
      </c>
      <c r="E317">
        <f t="shared" ca="1" si="21"/>
        <v>1</v>
      </c>
      <c r="F317" s="4">
        <f t="shared" ca="1" si="19"/>
        <v>-0.74216597502374593</v>
      </c>
      <c r="G317" s="5">
        <f t="shared" ca="1" si="20"/>
        <v>-0.51384729373676863</v>
      </c>
    </row>
    <row r="318" spans="2:7" x14ac:dyDescent="0.25">
      <c r="B318" s="22">
        <v>313</v>
      </c>
      <c r="C318" s="4">
        <f t="shared" ca="1" si="22"/>
        <v>-0.99971540993192387</v>
      </c>
      <c r="D318" s="5">
        <f t="shared" ca="1" si="22"/>
        <v>-0.65102724246533539</v>
      </c>
      <c r="E318">
        <f t="shared" ca="1" si="21"/>
        <v>0</v>
      </c>
      <c r="F318" s="4">
        <f t="shared" ca="1" si="19"/>
        <v>0</v>
      </c>
      <c r="G318" s="5">
        <f t="shared" ca="1" si="20"/>
        <v>0</v>
      </c>
    </row>
    <row r="319" spans="2:7" x14ac:dyDescent="0.25">
      <c r="B319" s="22">
        <v>314</v>
      </c>
      <c r="C319" s="4">
        <f t="shared" ca="1" si="22"/>
        <v>-0.12445500539634025</v>
      </c>
      <c r="D319" s="5">
        <f t="shared" ca="1" si="22"/>
        <v>0.5207777225769048</v>
      </c>
      <c r="E319">
        <f t="shared" ca="1" si="21"/>
        <v>1</v>
      </c>
      <c r="F319" s="4">
        <f t="shared" ca="1" si="19"/>
        <v>-0.12445500539634025</v>
      </c>
      <c r="G319" s="5">
        <f t="shared" ca="1" si="20"/>
        <v>0.5207777225769048</v>
      </c>
    </row>
    <row r="320" spans="2:7" x14ac:dyDescent="0.25">
      <c r="B320" s="22">
        <v>315</v>
      </c>
      <c r="C320" s="4">
        <f t="shared" ca="1" si="22"/>
        <v>-0.51698395076499337</v>
      </c>
      <c r="D320" s="5">
        <f t="shared" ca="1" si="22"/>
        <v>0.91973993571105805</v>
      </c>
      <c r="E320">
        <f t="shared" ca="1" si="21"/>
        <v>0</v>
      </c>
      <c r="F320" s="4">
        <f t="shared" ca="1" si="19"/>
        <v>0</v>
      </c>
      <c r="G320" s="5">
        <f t="shared" ca="1" si="20"/>
        <v>0</v>
      </c>
    </row>
    <row r="321" spans="2:7" x14ac:dyDescent="0.25">
      <c r="B321" s="22">
        <v>316</v>
      </c>
      <c r="C321" s="4">
        <f t="shared" ca="1" si="22"/>
        <v>-0.45095309509206816</v>
      </c>
      <c r="D321" s="5">
        <f t="shared" ca="1" si="22"/>
        <v>-0.42816699835781691</v>
      </c>
      <c r="E321">
        <f t="shared" ca="1" si="21"/>
        <v>1</v>
      </c>
      <c r="F321" s="4">
        <f t="shared" ca="1" si="19"/>
        <v>-0.45095309509206816</v>
      </c>
      <c r="G321" s="5">
        <f t="shared" ca="1" si="20"/>
        <v>-0.42816699835781691</v>
      </c>
    </row>
    <row r="322" spans="2:7" x14ac:dyDescent="0.25">
      <c r="B322" s="22">
        <v>317</v>
      </c>
      <c r="C322" s="4">
        <f t="shared" ca="1" si="22"/>
        <v>0.96931089232865286</v>
      </c>
      <c r="D322" s="5">
        <f t="shared" ca="1" si="22"/>
        <v>0.40660652054770519</v>
      </c>
      <c r="E322">
        <f t="shared" ca="1" si="21"/>
        <v>0</v>
      </c>
      <c r="F322" s="4">
        <f t="shared" ca="1" si="19"/>
        <v>0</v>
      </c>
      <c r="G322" s="5">
        <f t="shared" ca="1" si="20"/>
        <v>0</v>
      </c>
    </row>
    <row r="323" spans="2:7" x14ac:dyDescent="0.25">
      <c r="B323" s="22">
        <v>318</v>
      </c>
      <c r="C323" s="4">
        <f t="shared" ca="1" si="22"/>
        <v>0.38807630421846251</v>
      </c>
      <c r="D323" s="5">
        <f t="shared" ca="1" si="22"/>
        <v>-0.37809476541577314</v>
      </c>
      <c r="E323">
        <f t="shared" ca="1" si="21"/>
        <v>1</v>
      </c>
      <c r="F323" s="4">
        <f t="shared" ca="1" si="19"/>
        <v>0.38807630421846251</v>
      </c>
      <c r="G323" s="5">
        <f t="shared" ca="1" si="20"/>
        <v>-0.37809476541577314</v>
      </c>
    </row>
    <row r="324" spans="2:7" x14ac:dyDescent="0.25">
      <c r="B324" s="22">
        <v>319</v>
      </c>
      <c r="C324" s="4">
        <f t="shared" ca="1" si="22"/>
        <v>0.4408030775669658</v>
      </c>
      <c r="D324" s="5">
        <f t="shared" ca="1" si="22"/>
        <v>0.79818818073911446</v>
      </c>
      <c r="E324">
        <f t="shared" ca="1" si="21"/>
        <v>1</v>
      </c>
      <c r="F324" s="4">
        <f t="shared" ca="1" si="19"/>
        <v>0.4408030775669658</v>
      </c>
      <c r="G324" s="5">
        <f t="shared" ca="1" si="20"/>
        <v>0.79818818073911446</v>
      </c>
    </row>
    <row r="325" spans="2:7" x14ac:dyDescent="0.25">
      <c r="B325" s="22">
        <v>320</v>
      </c>
      <c r="C325" s="4">
        <f t="shared" ca="1" si="22"/>
        <v>-0.77234817227295882</v>
      </c>
      <c r="D325" s="5">
        <f t="shared" ca="1" si="22"/>
        <v>0.62064092929149828</v>
      </c>
      <c r="E325">
        <f t="shared" ca="1" si="21"/>
        <v>1</v>
      </c>
      <c r="F325" s="4">
        <f t="shared" ca="1" si="19"/>
        <v>-0.77234817227295882</v>
      </c>
      <c r="G325" s="5">
        <f t="shared" ca="1" si="20"/>
        <v>0.62064092929149828</v>
      </c>
    </row>
    <row r="326" spans="2:7" x14ac:dyDescent="0.25">
      <c r="B326" s="22">
        <v>321</v>
      </c>
      <c r="C326" s="4">
        <f t="shared" ca="1" si="22"/>
        <v>-0.29355462287080769</v>
      </c>
      <c r="D326" s="5">
        <f t="shared" ca="1" si="22"/>
        <v>-0.10770797179646152</v>
      </c>
      <c r="E326">
        <f t="shared" ca="1" si="21"/>
        <v>1</v>
      </c>
      <c r="F326" s="4">
        <f t="shared" ref="F326:F389" ca="1" si="23">IF((C326^2+D326^2)&lt;1, C326, 0)</f>
        <v>-0.29355462287080769</v>
      </c>
      <c r="G326" s="5">
        <f t="shared" ref="G326:G389" ca="1" si="24">IF((C326^2+D326^2)&lt;1, D326, 0)</f>
        <v>-0.10770797179646152</v>
      </c>
    </row>
    <row r="327" spans="2:7" x14ac:dyDescent="0.25">
      <c r="B327" s="22">
        <v>322</v>
      </c>
      <c r="C327" s="4">
        <f t="shared" ca="1" si="22"/>
        <v>-0.53872986621476548</v>
      </c>
      <c r="D327" s="5">
        <f t="shared" ca="1" si="22"/>
        <v>0.23728772832096312</v>
      </c>
      <c r="E327">
        <f t="shared" ref="E327:E390" ca="1" si="25">IF(C327^2+D327^2&lt;1, 1, 0)</f>
        <v>1</v>
      </c>
      <c r="F327" s="4">
        <f t="shared" ca="1" si="23"/>
        <v>-0.53872986621476548</v>
      </c>
      <c r="G327" s="5">
        <f t="shared" ca="1" si="24"/>
        <v>0.23728772832096312</v>
      </c>
    </row>
    <row r="328" spans="2:7" x14ac:dyDescent="0.25">
      <c r="B328" s="22">
        <v>323</v>
      </c>
      <c r="C328" s="4">
        <f t="shared" ca="1" si="22"/>
        <v>0.69014531483559494</v>
      </c>
      <c r="D328" s="5">
        <f t="shared" ca="1" si="22"/>
        <v>-0.22039461339376287</v>
      </c>
      <c r="E328">
        <f t="shared" ca="1" si="25"/>
        <v>1</v>
      </c>
      <c r="F328" s="4">
        <f t="shared" ca="1" si="23"/>
        <v>0.69014531483559494</v>
      </c>
      <c r="G328" s="5">
        <f t="shared" ca="1" si="24"/>
        <v>-0.22039461339376287</v>
      </c>
    </row>
    <row r="329" spans="2:7" x14ac:dyDescent="0.25">
      <c r="B329" s="22">
        <v>324</v>
      </c>
      <c r="C329" s="4">
        <f t="shared" ca="1" si="22"/>
        <v>-0.80448346487333966</v>
      </c>
      <c r="D329" s="5">
        <f t="shared" ca="1" si="22"/>
        <v>7.7863494004460687E-2</v>
      </c>
      <c r="E329">
        <f t="shared" ca="1" si="25"/>
        <v>1</v>
      </c>
      <c r="F329" s="4">
        <f t="shared" ca="1" si="23"/>
        <v>-0.80448346487333966</v>
      </c>
      <c r="G329" s="5">
        <f t="shared" ca="1" si="24"/>
        <v>7.7863494004460687E-2</v>
      </c>
    </row>
    <row r="330" spans="2:7" x14ac:dyDescent="0.25">
      <c r="B330" s="22">
        <v>325</v>
      </c>
      <c r="C330" s="4">
        <f t="shared" ca="1" si="22"/>
        <v>-0.91206440056607874</v>
      </c>
      <c r="D330" s="5">
        <f t="shared" ca="1" si="22"/>
        <v>0.59359568994146428</v>
      </c>
      <c r="E330">
        <f t="shared" ca="1" si="25"/>
        <v>0</v>
      </c>
      <c r="F330" s="4">
        <f t="shared" ca="1" si="23"/>
        <v>0</v>
      </c>
      <c r="G330" s="5">
        <f t="shared" ca="1" si="24"/>
        <v>0</v>
      </c>
    </row>
    <row r="331" spans="2:7" x14ac:dyDescent="0.25">
      <c r="B331" s="22">
        <v>326</v>
      </c>
      <c r="C331" s="4">
        <f t="shared" ca="1" si="22"/>
        <v>-0.20954436636070106</v>
      </c>
      <c r="D331" s="5">
        <f t="shared" ca="1" si="22"/>
        <v>0.61338705338578103</v>
      </c>
      <c r="E331">
        <f t="shared" ca="1" si="25"/>
        <v>1</v>
      </c>
      <c r="F331" s="4">
        <f t="shared" ca="1" si="23"/>
        <v>-0.20954436636070106</v>
      </c>
      <c r="G331" s="5">
        <f t="shared" ca="1" si="24"/>
        <v>0.61338705338578103</v>
      </c>
    </row>
    <row r="332" spans="2:7" x14ac:dyDescent="0.25">
      <c r="B332" s="22">
        <v>327</v>
      </c>
      <c r="C332" s="4">
        <f t="shared" ca="1" si="22"/>
        <v>0.74811846638681034</v>
      </c>
      <c r="D332" s="5">
        <f t="shared" ca="1" si="22"/>
        <v>-4.161513776969139E-2</v>
      </c>
      <c r="E332">
        <f t="shared" ca="1" si="25"/>
        <v>1</v>
      </c>
      <c r="F332" s="4">
        <f t="shared" ca="1" si="23"/>
        <v>0.74811846638681034</v>
      </c>
      <c r="G332" s="5">
        <f t="shared" ca="1" si="24"/>
        <v>-4.161513776969139E-2</v>
      </c>
    </row>
    <row r="333" spans="2:7" x14ac:dyDescent="0.25">
      <c r="B333" s="22">
        <v>328</v>
      </c>
      <c r="C333" s="4">
        <f t="shared" ca="1" si="22"/>
        <v>-0.49245016244396966</v>
      </c>
      <c r="D333" s="5">
        <f t="shared" ca="1" si="22"/>
        <v>-0.46093438412441179</v>
      </c>
      <c r="E333">
        <f t="shared" ca="1" si="25"/>
        <v>1</v>
      </c>
      <c r="F333" s="4">
        <f t="shared" ca="1" si="23"/>
        <v>-0.49245016244396966</v>
      </c>
      <c r="G333" s="5">
        <f t="shared" ca="1" si="24"/>
        <v>-0.46093438412441179</v>
      </c>
    </row>
    <row r="334" spans="2:7" x14ac:dyDescent="0.25">
      <c r="B334" s="22">
        <v>329</v>
      </c>
      <c r="C334" s="4">
        <f t="shared" ca="1" si="22"/>
        <v>-0.63754695733311029</v>
      </c>
      <c r="D334" s="5">
        <f t="shared" ca="1" si="22"/>
        <v>0.92961617541820618</v>
      </c>
      <c r="E334">
        <f t="shared" ca="1" si="25"/>
        <v>0</v>
      </c>
      <c r="F334" s="4">
        <f t="shared" ca="1" si="23"/>
        <v>0</v>
      </c>
      <c r="G334" s="5">
        <f t="shared" ca="1" si="24"/>
        <v>0</v>
      </c>
    </row>
    <row r="335" spans="2:7" x14ac:dyDescent="0.25">
      <c r="B335" s="22">
        <v>330</v>
      </c>
      <c r="C335" s="4">
        <f t="shared" ca="1" si="22"/>
        <v>1.9296556753712446E-2</v>
      </c>
      <c r="D335" s="5">
        <f t="shared" ca="1" si="22"/>
        <v>-0.99372568595094557</v>
      </c>
      <c r="E335">
        <f t="shared" ca="1" si="25"/>
        <v>1</v>
      </c>
      <c r="F335" s="4">
        <f t="shared" ca="1" si="23"/>
        <v>1.9296556753712446E-2</v>
      </c>
      <c r="G335" s="5">
        <f t="shared" ca="1" si="24"/>
        <v>-0.99372568595094557</v>
      </c>
    </row>
    <row r="336" spans="2:7" x14ac:dyDescent="0.25">
      <c r="B336" s="22">
        <v>331</v>
      </c>
      <c r="C336" s="4">
        <f t="shared" ca="1" si="22"/>
        <v>-0.2648260594435301</v>
      </c>
      <c r="D336" s="5">
        <f t="shared" ca="1" si="22"/>
        <v>-0.82082241287268265</v>
      </c>
      <c r="E336">
        <f t="shared" ca="1" si="25"/>
        <v>1</v>
      </c>
      <c r="F336" s="4">
        <f t="shared" ca="1" si="23"/>
        <v>-0.2648260594435301</v>
      </c>
      <c r="G336" s="5">
        <f t="shared" ca="1" si="24"/>
        <v>-0.82082241287268265</v>
      </c>
    </row>
    <row r="337" spans="2:7" x14ac:dyDescent="0.25">
      <c r="B337" s="22">
        <v>332</v>
      </c>
      <c r="C337" s="4">
        <f t="shared" ca="1" si="22"/>
        <v>-0.17039753822562487</v>
      </c>
      <c r="D337" s="5">
        <f t="shared" ca="1" si="22"/>
        <v>-0.53094663940695486</v>
      </c>
      <c r="E337">
        <f t="shared" ca="1" si="25"/>
        <v>1</v>
      </c>
      <c r="F337" s="4">
        <f t="shared" ca="1" si="23"/>
        <v>-0.17039753822562487</v>
      </c>
      <c r="G337" s="5">
        <f t="shared" ca="1" si="24"/>
        <v>-0.53094663940695486</v>
      </c>
    </row>
    <row r="338" spans="2:7" x14ac:dyDescent="0.25">
      <c r="B338" s="22">
        <v>333</v>
      </c>
      <c r="C338" s="4">
        <f t="shared" ca="1" si="22"/>
        <v>-0.40787723645759888</v>
      </c>
      <c r="D338" s="5">
        <f t="shared" ca="1" si="22"/>
        <v>1.4011274253683981E-2</v>
      </c>
      <c r="E338">
        <f t="shared" ca="1" si="25"/>
        <v>1</v>
      </c>
      <c r="F338" s="4">
        <f t="shared" ca="1" si="23"/>
        <v>-0.40787723645759888</v>
      </c>
      <c r="G338" s="5">
        <f t="shared" ca="1" si="24"/>
        <v>1.4011274253683981E-2</v>
      </c>
    </row>
    <row r="339" spans="2:7" x14ac:dyDescent="0.25">
      <c r="B339" s="22">
        <v>334</v>
      </c>
      <c r="C339" s="4">
        <f t="shared" ca="1" si="22"/>
        <v>-0.17738514585136178</v>
      </c>
      <c r="D339" s="5">
        <f t="shared" ca="1" si="22"/>
        <v>-0.22483551609894237</v>
      </c>
      <c r="E339">
        <f t="shared" ca="1" si="25"/>
        <v>1</v>
      </c>
      <c r="F339" s="4">
        <f t="shared" ca="1" si="23"/>
        <v>-0.17738514585136178</v>
      </c>
      <c r="G339" s="5">
        <f t="shared" ca="1" si="24"/>
        <v>-0.22483551609894237</v>
      </c>
    </row>
    <row r="340" spans="2:7" x14ac:dyDescent="0.25">
      <c r="B340" s="22">
        <v>335</v>
      </c>
      <c r="C340" s="4">
        <f t="shared" ca="1" si="22"/>
        <v>0.30137177839758467</v>
      </c>
      <c r="D340" s="5">
        <f t="shared" ca="1" si="22"/>
        <v>-0.32871973590932657</v>
      </c>
      <c r="E340">
        <f t="shared" ca="1" si="25"/>
        <v>1</v>
      </c>
      <c r="F340" s="4">
        <f t="shared" ca="1" si="23"/>
        <v>0.30137177839758467</v>
      </c>
      <c r="G340" s="5">
        <f t="shared" ca="1" si="24"/>
        <v>-0.32871973590932657</v>
      </c>
    </row>
    <row r="341" spans="2:7" x14ac:dyDescent="0.25">
      <c r="B341" s="22">
        <v>336</v>
      </c>
      <c r="C341" s="4">
        <f t="shared" ca="1" si="22"/>
        <v>-0.14245455085145786</v>
      </c>
      <c r="D341" s="5">
        <f t="shared" ca="1" si="22"/>
        <v>0.15726785469659799</v>
      </c>
      <c r="E341">
        <f t="shared" ca="1" si="25"/>
        <v>1</v>
      </c>
      <c r="F341" s="4">
        <f t="shared" ca="1" si="23"/>
        <v>-0.14245455085145786</v>
      </c>
      <c r="G341" s="5">
        <f t="shared" ca="1" si="24"/>
        <v>0.15726785469659799</v>
      </c>
    </row>
    <row r="342" spans="2:7" x14ac:dyDescent="0.25">
      <c r="B342" s="22">
        <v>337</v>
      </c>
      <c r="C342" s="4">
        <f t="shared" ca="1" si="22"/>
        <v>-0.99957889084500473</v>
      </c>
      <c r="D342" s="5">
        <f t="shared" ca="1" si="22"/>
        <v>-0.83706397839386515</v>
      </c>
      <c r="E342">
        <f t="shared" ca="1" si="25"/>
        <v>0</v>
      </c>
      <c r="F342" s="4">
        <f t="shared" ca="1" si="23"/>
        <v>0</v>
      </c>
      <c r="G342" s="5">
        <f t="shared" ca="1" si="24"/>
        <v>0</v>
      </c>
    </row>
    <row r="343" spans="2:7" x14ac:dyDescent="0.25">
      <c r="B343" s="22">
        <v>338</v>
      </c>
      <c r="C343" s="4">
        <f t="shared" ref="C343:D406" ca="1" si="26">1-2*RAND()</f>
        <v>-0.94325374480971003</v>
      </c>
      <c r="D343" s="5">
        <f t="shared" ca="1" si="26"/>
        <v>0.81645602612137824</v>
      </c>
      <c r="E343">
        <f t="shared" ca="1" si="25"/>
        <v>0</v>
      </c>
      <c r="F343" s="4">
        <f t="shared" ca="1" si="23"/>
        <v>0</v>
      </c>
      <c r="G343" s="5">
        <f t="shared" ca="1" si="24"/>
        <v>0</v>
      </c>
    </row>
    <row r="344" spans="2:7" x14ac:dyDescent="0.25">
      <c r="B344" s="22">
        <v>339</v>
      </c>
      <c r="C344" s="4">
        <f t="shared" ca="1" si="26"/>
        <v>0.41365706216010412</v>
      </c>
      <c r="D344" s="5">
        <f t="shared" ca="1" si="26"/>
        <v>0.41774708715775466</v>
      </c>
      <c r="E344">
        <f t="shared" ca="1" si="25"/>
        <v>1</v>
      </c>
      <c r="F344" s="4">
        <f t="shared" ca="1" si="23"/>
        <v>0.41365706216010412</v>
      </c>
      <c r="G344" s="5">
        <f t="shared" ca="1" si="24"/>
        <v>0.41774708715775466</v>
      </c>
    </row>
    <row r="345" spans="2:7" x14ac:dyDescent="0.25">
      <c r="B345" s="22">
        <v>340</v>
      </c>
      <c r="C345" s="4">
        <f t="shared" ca="1" si="26"/>
        <v>-0.99291616508097147</v>
      </c>
      <c r="D345" s="5">
        <f t="shared" ca="1" si="26"/>
        <v>0.56285285142274133</v>
      </c>
      <c r="E345">
        <f t="shared" ca="1" si="25"/>
        <v>0</v>
      </c>
      <c r="F345" s="4">
        <f t="shared" ca="1" si="23"/>
        <v>0</v>
      </c>
      <c r="G345" s="5">
        <f t="shared" ca="1" si="24"/>
        <v>0</v>
      </c>
    </row>
    <row r="346" spans="2:7" x14ac:dyDescent="0.25">
      <c r="B346" s="22">
        <v>341</v>
      </c>
      <c r="C346" s="4">
        <f t="shared" ca="1" si="26"/>
        <v>-0.75843142254010343</v>
      </c>
      <c r="D346" s="5">
        <f t="shared" ca="1" si="26"/>
        <v>0.59941435230178897</v>
      </c>
      <c r="E346">
        <f t="shared" ca="1" si="25"/>
        <v>1</v>
      </c>
      <c r="F346" s="4">
        <f t="shared" ca="1" si="23"/>
        <v>-0.75843142254010343</v>
      </c>
      <c r="G346" s="5">
        <f t="shared" ca="1" si="24"/>
        <v>0.59941435230178897</v>
      </c>
    </row>
    <row r="347" spans="2:7" x14ac:dyDescent="0.25">
      <c r="B347" s="22">
        <v>342</v>
      </c>
      <c r="C347" s="4">
        <f t="shared" ca="1" si="26"/>
        <v>-0.32289122794601544</v>
      </c>
      <c r="D347" s="5">
        <f t="shared" ca="1" si="26"/>
        <v>0.3008725486763284</v>
      </c>
      <c r="E347">
        <f t="shared" ca="1" si="25"/>
        <v>1</v>
      </c>
      <c r="F347" s="4">
        <f t="shared" ca="1" si="23"/>
        <v>-0.32289122794601544</v>
      </c>
      <c r="G347" s="5">
        <f t="shared" ca="1" si="24"/>
        <v>0.3008725486763284</v>
      </c>
    </row>
    <row r="348" spans="2:7" x14ac:dyDescent="0.25">
      <c r="B348" s="22">
        <v>343</v>
      </c>
      <c r="C348" s="4">
        <f t="shared" ca="1" si="26"/>
        <v>0.46101313273215827</v>
      </c>
      <c r="D348" s="5">
        <f t="shared" ca="1" si="26"/>
        <v>-0.30246703358953031</v>
      </c>
      <c r="E348">
        <f t="shared" ca="1" si="25"/>
        <v>1</v>
      </c>
      <c r="F348" s="4">
        <f t="shared" ca="1" si="23"/>
        <v>0.46101313273215827</v>
      </c>
      <c r="G348" s="5">
        <f t="shared" ca="1" si="24"/>
        <v>-0.30246703358953031</v>
      </c>
    </row>
    <row r="349" spans="2:7" x14ac:dyDescent="0.25">
      <c r="B349" s="22">
        <v>344</v>
      </c>
      <c r="C349" s="4">
        <f t="shared" ca="1" si="26"/>
        <v>-0.48477330293633125</v>
      </c>
      <c r="D349" s="5">
        <f t="shared" ca="1" si="26"/>
        <v>5.0163372856114608E-2</v>
      </c>
      <c r="E349">
        <f t="shared" ca="1" si="25"/>
        <v>1</v>
      </c>
      <c r="F349" s="4">
        <f t="shared" ca="1" si="23"/>
        <v>-0.48477330293633125</v>
      </c>
      <c r="G349" s="5">
        <f t="shared" ca="1" si="24"/>
        <v>5.0163372856114608E-2</v>
      </c>
    </row>
    <row r="350" spans="2:7" x14ac:dyDescent="0.25">
      <c r="B350" s="22">
        <v>345</v>
      </c>
      <c r="C350" s="4">
        <f t="shared" ca="1" si="26"/>
        <v>-2.5477941242469049E-2</v>
      </c>
      <c r="D350" s="5">
        <f t="shared" ca="1" si="26"/>
        <v>2.2319235281246685E-2</v>
      </c>
      <c r="E350">
        <f t="shared" ca="1" si="25"/>
        <v>1</v>
      </c>
      <c r="F350" s="4">
        <f t="shared" ca="1" si="23"/>
        <v>-2.5477941242469049E-2</v>
      </c>
      <c r="G350" s="5">
        <f t="shared" ca="1" si="24"/>
        <v>2.2319235281246685E-2</v>
      </c>
    </row>
    <row r="351" spans="2:7" x14ac:dyDescent="0.25">
      <c r="B351" s="22">
        <v>346</v>
      </c>
      <c r="C351" s="4">
        <f t="shared" ca="1" si="26"/>
        <v>0.73458324909604666</v>
      </c>
      <c r="D351" s="5">
        <f t="shared" ca="1" si="26"/>
        <v>0.6051420742440603</v>
      </c>
      <c r="E351">
        <f t="shared" ca="1" si="25"/>
        <v>1</v>
      </c>
      <c r="F351" s="4">
        <f t="shared" ca="1" si="23"/>
        <v>0.73458324909604666</v>
      </c>
      <c r="G351" s="5">
        <f t="shared" ca="1" si="24"/>
        <v>0.6051420742440603</v>
      </c>
    </row>
    <row r="352" spans="2:7" x14ac:dyDescent="0.25">
      <c r="B352" s="22">
        <v>347</v>
      </c>
      <c r="C352" s="4">
        <f t="shared" ca="1" si="26"/>
        <v>0.92346319773713348</v>
      </c>
      <c r="D352" s="5">
        <f t="shared" ca="1" si="26"/>
        <v>-0.66685449147555209</v>
      </c>
      <c r="E352">
        <f t="shared" ca="1" si="25"/>
        <v>0</v>
      </c>
      <c r="F352" s="4">
        <f t="shared" ca="1" si="23"/>
        <v>0</v>
      </c>
      <c r="G352" s="5">
        <f t="shared" ca="1" si="24"/>
        <v>0</v>
      </c>
    </row>
    <row r="353" spans="2:7" x14ac:dyDescent="0.25">
      <c r="B353" s="22">
        <v>348</v>
      </c>
      <c r="C353" s="4">
        <f t="shared" ca="1" si="26"/>
        <v>0.55870633607525533</v>
      </c>
      <c r="D353" s="5">
        <f t="shared" ca="1" si="26"/>
        <v>0.8492803305042107</v>
      </c>
      <c r="E353">
        <f t="shared" ca="1" si="25"/>
        <v>0</v>
      </c>
      <c r="F353" s="4">
        <f t="shared" ca="1" si="23"/>
        <v>0</v>
      </c>
      <c r="G353" s="5">
        <f t="shared" ca="1" si="24"/>
        <v>0</v>
      </c>
    </row>
    <row r="354" spans="2:7" x14ac:dyDescent="0.25">
      <c r="B354" s="22">
        <v>349</v>
      </c>
      <c r="C354" s="4">
        <f t="shared" ca="1" si="26"/>
        <v>-0.80804824904199424</v>
      </c>
      <c r="D354" s="5">
        <f t="shared" ca="1" si="26"/>
        <v>0.9419727259192443</v>
      </c>
      <c r="E354">
        <f t="shared" ca="1" si="25"/>
        <v>0</v>
      </c>
      <c r="F354" s="4">
        <f t="shared" ca="1" si="23"/>
        <v>0</v>
      </c>
      <c r="G354" s="5">
        <f t="shared" ca="1" si="24"/>
        <v>0</v>
      </c>
    </row>
    <row r="355" spans="2:7" x14ac:dyDescent="0.25">
      <c r="B355" s="22">
        <v>350</v>
      </c>
      <c r="C355" s="4">
        <f t="shared" ca="1" si="26"/>
        <v>-3.2200038020819832E-2</v>
      </c>
      <c r="D355" s="5">
        <f t="shared" ca="1" si="26"/>
        <v>-0.83512151109953159</v>
      </c>
      <c r="E355">
        <f t="shared" ca="1" si="25"/>
        <v>1</v>
      </c>
      <c r="F355" s="4">
        <f t="shared" ca="1" si="23"/>
        <v>-3.2200038020819832E-2</v>
      </c>
      <c r="G355" s="5">
        <f t="shared" ca="1" si="24"/>
        <v>-0.83512151109953159</v>
      </c>
    </row>
    <row r="356" spans="2:7" x14ac:dyDescent="0.25">
      <c r="B356" s="22">
        <v>351</v>
      </c>
      <c r="C356" s="4">
        <f t="shared" ca="1" si="26"/>
        <v>0.83166675185598016</v>
      </c>
      <c r="D356" s="5">
        <f t="shared" ca="1" si="26"/>
        <v>-0.74661764389249052</v>
      </c>
      <c r="E356">
        <f t="shared" ca="1" si="25"/>
        <v>0</v>
      </c>
      <c r="F356" s="4">
        <f t="shared" ca="1" si="23"/>
        <v>0</v>
      </c>
      <c r="G356" s="5">
        <f t="shared" ca="1" si="24"/>
        <v>0</v>
      </c>
    </row>
    <row r="357" spans="2:7" x14ac:dyDescent="0.25">
      <c r="B357" s="22">
        <v>352</v>
      </c>
      <c r="C357" s="4">
        <f t="shared" ca="1" si="26"/>
        <v>-0.14327561049487958</v>
      </c>
      <c r="D357" s="5">
        <f t="shared" ca="1" si="26"/>
        <v>-0.36564115757469939</v>
      </c>
      <c r="E357">
        <f t="shared" ca="1" si="25"/>
        <v>1</v>
      </c>
      <c r="F357" s="4">
        <f t="shared" ca="1" si="23"/>
        <v>-0.14327561049487958</v>
      </c>
      <c r="G357" s="5">
        <f t="shared" ca="1" si="24"/>
        <v>-0.36564115757469939</v>
      </c>
    </row>
    <row r="358" spans="2:7" x14ac:dyDescent="0.25">
      <c r="B358" s="22">
        <v>353</v>
      </c>
      <c r="C358" s="4">
        <f t="shared" ca="1" si="26"/>
        <v>-0.92728840722449357</v>
      </c>
      <c r="D358" s="5">
        <f t="shared" ca="1" si="26"/>
        <v>-0.43265407716829407</v>
      </c>
      <c r="E358">
        <f t="shared" ca="1" si="25"/>
        <v>0</v>
      </c>
      <c r="F358" s="4">
        <f t="shared" ca="1" si="23"/>
        <v>0</v>
      </c>
      <c r="G358" s="5">
        <f t="shared" ca="1" si="24"/>
        <v>0</v>
      </c>
    </row>
    <row r="359" spans="2:7" x14ac:dyDescent="0.25">
      <c r="B359" s="22">
        <v>354</v>
      </c>
      <c r="C359" s="4">
        <f t="shared" ca="1" si="26"/>
        <v>0.44128789052975925</v>
      </c>
      <c r="D359" s="5">
        <f t="shared" ca="1" si="26"/>
        <v>-0.58911332645647829</v>
      </c>
      <c r="E359">
        <f t="shared" ca="1" si="25"/>
        <v>1</v>
      </c>
      <c r="F359" s="4">
        <f t="shared" ca="1" si="23"/>
        <v>0.44128789052975925</v>
      </c>
      <c r="G359" s="5">
        <f t="shared" ca="1" si="24"/>
        <v>-0.58911332645647829</v>
      </c>
    </row>
    <row r="360" spans="2:7" x14ac:dyDescent="0.25">
      <c r="B360" s="22">
        <v>355</v>
      </c>
      <c r="C360" s="4">
        <f t="shared" ca="1" si="26"/>
        <v>-0.35142993540729295</v>
      </c>
      <c r="D360" s="5">
        <f t="shared" ca="1" si="26"/>
        <v>-0.86656661521007328</v>
      </c>
      <c r="E360">
        <f t="shared" ca="1" si="25"/>
        <v>1</v>
      </c>
      <c r="F360" s="4">
        <f t="shared" ca="1" si="23"/>
        <v>-0.35142993540729295</v>
      </c>
      <c r="G360" s="5">
        <f t="shared" ca="1" si="24"/>
        <v>-0.86656661521007328</v>
      </c>
    </row>
    <row r="361" spans="2:7" x14ac:dyDescent="0.25">
      <c r="B361" s="22">
        <v>356</v>
      </c>
      <c r="C361" s="4">
        <f t="shared" ca="1" si="26"/>
        <v>-0.24003558498794697</v>
      </c>
      <c r="D361" s="5">
        <f t="shared" ca="1" si="26"/>
        <v>0.71511957618316391</v>
      </c>
      <c r="E361">
        <f t="shared" ca="1" si="25"/>
        <v>1</v>
      </c>
      <c r="F361" s="4">
        <f t="shared" ca="1" si="23"/>
        <v>-0.24003558498794697</v>
      </c>
      <c r="G361" s="5">
        <f t="shared" ca="1" si="24"/>
        <v>0.71511957618316391</v>
      </c>
    </row>
    <row r="362" spans="2:7" x14ac:dyDescent="0.25">
      <c r="B362" s="22">
        <v>357</v>
      </c>
      <c r="C362" s="4">
        <f t="shared" ca="1" si="26"/>
        <v>-0.71272191527747175</v>
      </c>
      <c r="D362" s="5">
        <f t="shared" ca="1" si="26"/>
        <v>-0.37355738239610514</v>
      </c>
      <c r="E362">
        <f t="shared" ca="1" si="25"/>
        <v>1</v>
      </c>
      <c r="F362" s="4">
        <f t="shared" ca="1" si="23"/>
        <v>-0.71272191527747175</v>
      </c>
      <c r="G362" s="5">
        <f t="shared" ca="1" si="24"/>
        <v>-0.37355738239610514</v>
      </c>
    </row>
    <row r="363" spans="2:7" x14ac:dyDescent="0.25">
      <c r="B363" s="22">
        <v>358</v>
      </c>
      <c r="C363" s="4">
        <f t="shared" ca="1" si="26"/>
        <v>0.2058557775867782</v>
      </c>
      <c r="D363" s="5">
        <f t="shared" ca="1" si="26"/>
        <v>0.93029337415526325</v>
      </c>
      <c r="E363">
        <f t="shared" ca="1" si="25"/>
        <v>1</v>
      </c>
      <c r="F363" s="4">
        <f t="shared" ca="1" si="23"/>
        <v>0.2058557775867782</v>
      </c>
      <c r="G363" s="5">
        <f t="shared" ca="1" si="24"/>
        <v>0.93029337415526325</v>
      </c>
    </row>
    <row r="364" spans="2:7" x14ac:dyDescent="0.25">
      <c r="B364" s="22">
        <v>359</v>
      </c>
      <c r="C364" s="4">
        <f t="shared" ca="1" si="26"/>
        <v>0.28936904872848057</v>
      </c>
      <c r="D364" s="5">
        <f t="shared" ca="1" si="26"/>
        <v>-4.989958422206886E-2</v>
      </c>
      <c r="E364">
        <f t="shared" ca="1" si="25"/>
        <v>1</v>
      </c>
      <c r="F364" s="4">
        <f t="shared" ca="1" si="23"/>
        <v>0.28936904872848057</v>
      </c>
      <c r="G364" s="5">
        <f t="shared" ca="1" si="24"/>
        <v>-4.989958422206886E-2</v>
      </c>
    </row>
    <row r="365" spans="2:7" x14ac:dyDescent="0.25">
      <c r="B365" s="22">
        <v>360</v>
      </c>
      <c r="C365" s="4">
        <f t="shared" ca="1" si="26"/>
        <v>0.30103229287216782</v>
      </c>
      <c r="D365" s="5">
        <f t="shared" ca="1" si="26"/>
        <v>-0.42664732811957129</v>
      </c>
      <c r="E365">
        <f t="shared" ca="1" si="25"/>
        <v>1</v>
      </c>
      <c r="F365" s="4">
        <f t="shared" ca="1" si="23"/>
        <v>0.30103229287216782</v>
      </c>
      <c r="G365" s="5">
        <f t="shared" ca="1" si="24"/>
        <v>-0.42664732811957129</v>
      </c>
    </row>
    <row r="366" spans="2:7" x14ac:dyDescent="0.25">
      <c r="B366" s="22">
        <v>361</v>
      </c>
      <c r="C366" s="4">
        <f t="shared" ca="1" si="26"/>
        <v>0.4954932756377437</v>
      </c>
      <c r="D366" s="5">
        <f t="shared" ca="1" si="26"/>
        <v>4.871027216682311E-3</v>
      </c>
      <c r="E366">
        <f t="shared" ca="1" si="25"/>
        <v>1</v>
      </c>
      <c r="F366" s="4">
        <f t="shared" ca="1" si="23"/>
        <v>0.4954932756377437</v>
      </c>
      <c r="G366" s="5">
        <f t="shared" ca="1" si="24"/>
        <v>4.871027216682311E-3</v>
      </c>
    </row>
    <row r="367" spans="2:7" x14ac:dyDescent="0.25">
      <c r="B367" s="22">
        <v>362</v>
      </c>
      <c r="C367" s="4">
        <f t="shared" ca="1" si="26"/>
        <v>-0.54290336107015658</v>
      </c>
      <c r="D367" s="5">
        <f t="shared" ca="1" si="26"/>
        <v>0.55534687076919931</v>
      </c>
      <c r="E367">
        <f t="shared" ca="1" si="25"/>
        <v>1</v>
      </c>
      <c r="F367" s="4">
        <f t="shared" ca="1" si="23"/>
        <v>-0.54290336107015658</v>
      </c>
      <c r="G367" s="5">
        <f t="shared" ca="1" si="24"/>
        <v>0.55534687076919931</v>
      </c>
    </row>
    <row r="368" spans="2:7" x14ac:dyDescent="0.25">
      <c r="B368" s="22">
        <v>363</v>
      </c>
      <c r="C368" s="4">
        <f t="shared" ca="1" si="26"/>
        <v>0.27230486384317909</v>
      </c>
      <c r="D368" s="5">
        <f t="shared" ca="1" si="26"/>
        <v>-0.910588132482961</v>
      </c>
      <c r="E368">
        <f t="shared" ca="1" si="25"/>
        <v>1</v>
      </c>
      <c r="F368" s="4">
        <f t="shared" ca="1" si="23"/>
        <v>0.27230486384317909</v>
      </c>
      <c r="G368" s="5">
        <f t="shared" ca="1" si="24"/>
        <v>-0.910588132482961</v>
      </c>
    </row>
    <row r="369" spans="2:7" x14ac:dyDescent="0.25">
      <c r="B369" s="22">
        <v>364</v>
      </c>
      <c r="C369" s="4">
        <f t="shared" ca="1" si="26"/>
        <v>0.99140559381405291</v>
      </c>
      <c r="D369" s="5">
        <f t="shared" ca="1" si="26"/>
        <v>0.18120820395250936</v>
      </c>
      <c r="E369">
        <f t="shared" ca="1" si="25"/>
        <v>0</v>
      </c>
      <c r="F369" s="4">
        <f t="shared" ca="1" si="23"/>
        <v>0</v>
      </c>
      <c r="G369" s="5">
        <f t="shared" ca="1" si="24"/>
        <v>0</v>
      </c>
    </row>
    <row r="370" spans="2:7" x14ac:dyDescent="0.25">
      <c r="B370" s="22">
        <v>365</v>
      </c>
      <c r="C370" s="4">
        <f t="shared" ca="1" si="26"/>
        <v>0.28605051785851066</v>
      </c>
      <c r="D370" s="5">
        <f t="shared" ca="1" si="26"/>
        <v>0.48384472056714878</v>
      </c>
      <c r="E370">
        <f t="shared" ca="1" si="25"/>
        <v>1</v>
      </c>
      <c r="F370" s="4">
        <f t="shared" ca="1" si="23"/>
        <v>0.28605051785851066</v>
      </c>
      <c r="G370" s="5">
        <f t="shared" ca="1" si="24"/>
        <v>0.48384472056714878</v>
      </c>
    </row>
    <row r="371" spans="2:7" x14ac:dyDescent="0.25">
      <c r="B371" s="22">
        <v>366</v>
      </c>
      <c r="C371" s="4">
        <f t="shared" ca="1" si="26"/>
        <v>-0.12486667471597812</v>
      </c>
      <c r="D371" s="5">
        <f t="shared" ca="1" si="26"/>
        <v>-0.43970270187437532</v>
      </c>
      <c r="E371">
        <f t="shared" ca="1" si="25"/>
        <v>1</v>
      </c>
      <c r="F371" s="4">
        <f t="shared" ca="1" si="23"/>
        <v>-0.12486667471597812</v>
      </c>
      <c r="G371" s="5">
        <f t="shared" ca="1" si="24"/>
        <v>-0.43970270187437532</v>
      </c>
    </row>
    <row r="372" spans="2:7" x14ac:dyDescent="0.25">
      <c r="B372" s="22">
        <v>367</v>
      </c>
      <c r="C372" s="4">
        <f t="shared" ca="1" si="26"/>
        <v>0.40458482210013647</v>
      </c>
      <c r="D372" s="5">
        <f t="shared" ca="1" si="26"/>
        <v>-0.48055499683447089</v>
      </c>
      <c r="E372">
        <f t="shared" ca="1" si="25"/>
        <v>1</v>
      </c>
      <c r="F372" s="4">
        <f t="shared" ca="1" si="23"/>
        <v>0.40458482210013647</v>
      </c>
      <c r="G372" s="5">
        <f t="shared" ca="1" si="24"/>
        <v>-0.48055499683447089</v>
      </c>
    </row>
    <row r="373" spans="2:7" x14ac:dyDescent="0.25">
      <c r="B373" s="22">
        <v>368</v>
      </c>
      <c r="C373" s="4">
        <f t="shared" ca="1" si="26"/>
        <v>0.30823343617912058</v>
      </c>
      <c r="D373" s="5">
        <f t="shared" ca="1" si="26"/>
        <v>-0.7450741088754893</v>
      </c>
      <c r="E373">
        <f t="shared" ca="1" si="25"/>
        <v>1</v>
      </c>
      <c r="F373" s="4">
        <f t="shared" ca="1" si="23"/>
        <v>0.30823343617912058</v>
      </c>
      <c r="G373" s="5">
        <f t="shared" ca="1" si="24"/>
        <v>-0.7450741088754893</v>
      </c>
    </row>
    <row r="374" spans="2:7" x14ac:dyDescent="0.25">
      <c r="B374" s="22">
        <v>369</v>
      </c>
      <c r="C374" s="4">
        <f t="shared" ca="1" si="26"/>
        <v>-0.8015622145584973</v>
      </c>
      <c r="D374" s="5">
        <f t="shared" ca="1" si="26"/>
        <v>-0.81693991936650634</v>
      </c>
      <c r="E374">
        <f t="shared" ca="1" si="25"/>
        <v>0</v>
      </c>
      <c r="F374" s="4">
        <f t="shared" ca="1" si="23"/>
        <v>0</v>
      </c>
      <c r="G374" s="5">
        <f t="shared" ca="1" si="24"/>
        <v>0</v>
      </c>
    </row>
    <row r="375" spans="2:7" x14ac:dyDescent="0.25">
      <c r="B375" s="22">
        <v>370</v>
      </c>
      <c r="C375" s="4">
        <f t="shared" ca="1" si="26"/>
        <v>-0.40474543201307411</v>
      </c>
      <c r="D375" s="5">
        <f t="shared" ca="1" si="26"/>
        <v>-0.38440156501660616</v>
      </c>
      <c r="E375">
        <f t="shared" ca="1" si="25"/>
        <v>1</v>
      </c>
      <c r="F375" s="4">
        <f t="shared" ca="1" si="23"/>
        <v>-0.40474543201307411</v>
      </c>
      <c r="G375" s="5">
        <f t="shared" ca="1" si="24"/>
        <v>-0.38440156501660616</v>
      </c>
    </row>
    <row r="376" spans="2:7" x14ac:dyDescent="0.25">
      <c r="B376" s="22">
        <v>371</v>
      </c>
      <c r="C376" s="4">
        <f t="shared" ca="1" si="26"/>
        <v>0.68325960895058824</v>
      </c>
      <c r="D376" s="5">
        <f t="shared" ca="1" si="26"/>
        <v>0.85636721109590996</v>
      </c>
      <c r="E376">
        <f t="shared" ca="1" si="25"/>
        <v>0</v>
      </c>
      <c r="F376" s="4">
        <f t="shared" ca="1" si="23"/>
        <v>0</v>
      </c>
      <c r="G376" s="5">
        <f t="shared" ca="1" si="24"/>
        <v>0</v>
      </c>
    </row>
    <row r="377" spans="2:7" x14ac:dyDescent="0.25">
      <c r="B377" s="22">
        <v>372</v>
      </c>
      <c r="C377" s="4">
        <f t="shared" ca="1" si="26"/>
        <v>-0.22783820918261766</v>
      </c>
      <c r="D377" s="5">
        <f t="shared" ca="1" si="26"/>
        <v>-0.26717573644055559</v>
      </c>
      <c r="E377">
        <f t="shared" ca="1" si="25"/>
        <v>1</v>
      </c>
      <c r="F377" s="4">
        <f t="shared" ca="1" si="23"/>
        <v>-0.22783820918261766</v>
      </c>
      <c r="G377" s="5">
        <f t="shared" ca="1" si="24"/>
        <v>-0.26717573644055559</v>
      </c>
    </row>
    <row r="378" spans="2:7" x14ac:dyDescent="0.25">
      <c r="B378" s="22">
        <v>373</v>
      </c>
      <c r="C378" s="4">
        <f t="shared" ca="1" si="26"/>
        <v>0.51111648423088663</v>
      </c>
      <c r="D378" s="5">
        <f t="shared" ca="1" si="26"/>
        <v>-0.67695777150384462</v>
      </c>
      <c r="E378">
        <f t="shared" ca="1" si="25"/>
        <v>1</v>
      </c>
      <c r="F378" s="4">
        <f t="shared" ca="1" si="23"/>
        <v>0.51111648423088663</v>
      </c>
      <c r="G378" s="5">
        <f t="shared" ca="1" si="24"/>
        <v>-0.67695777150384462</v>
      </c>
    </row>
    <row r="379" spans="2:7" x14ac:dyDescent="0.25">
      <c r="B379" s="22">
        <v>374</v>
      </c>
      <c r="C379" s="4">
        <f t="shared" ca="1" si="26"/>
        <v>0.77065977130340846</v>
      </c>
      <c r="D379" s="5">
        <f t="shared" ca="1" si="26"/>
        <v>0.29407814187870374</v>
      </c>
      <c r="E379">
        <f t="shared" ca="1" si="25"/>
        <v>1</v>
      </c>
      <c r="F379" s="4">
        <f t="shared" ca="1" si="23"/>
        <v>0.77065977130340846</v>
      </c>
      <c r="G379" s="5">
        <f t="shared" ca="1" si="24"/>
        <v>0.29407814187870374</v>
      </c>
    </row>
    <row r="380" spans="2:7" x14ac:dyDescent="0.25">
      <c r="B380" s="22">
        <v>375</v>
      </c>
      <c r="C380" s="4">
        <f t="shared" ca="1" si="26"/>
        <v>-0.65254358597902207</v>
      </c>
      <c r="D380" s="5">
        <f t="shared" ca="1" si="26"/>
        <v>0.55795447873395987</v>
      </c>
      <c r="E380">
        <f t="shared" ca="1" si="25"/>
        <v>1</v>
      </c>
      <c r="F380" s="4">
        <f t="shared" ca="1" si="23"/>
        <v>-0.65254358597902207</v>
      </c>
      <c r="G380" s="5">
        <f t="shared" ca="1" si="24"/>
        <v>0.55795447873395987</v>
      </c>
    </row>
    <row r="381" spans="2:7" x14ac:dyDescent="0.25">
      <c r="B381" s="22">
        <v>376</v>
      </c>
      <c r="C381" s="4">
        <f t="shared" ca="1" si="26"/>
        <v>-0.97166997951482892</v>
      </c>
      <c r="D381" s="5">
        <f t="shared" ca="1" si="26"/>
        <v>-0.64242108525611608</v>
      </c>
      <c r="E381">
        <f t="shared" ca="1" si="25"/>
        <v>0</v>
      </c>
      <c r="F381" s="4">
        <f t="shared" ca="1" si="23"/>
        <v>0</v>
      </c>
      <c r="G381" s="5">
        <f t="shared" ca="1" si="24"/>
        <v>0</v>
      </c>
    </row>
    <row r="382" spans="2:7" x14ac:dyDescent="0.25">
      <c r="B382" s="22">
        <v>377</v>
      </c>
      <c r="C382" s="4">
        <f t="shared" ca="1" si="26"/>
        <v>-0.54854417030625169</v>
      </c>
      <c r="D382" s="5">
        <f t="shared" ca="1" si="26"/>
        <v>-0.37538987924561074</v>
      </c>
      <c r="E382">
        <f t="shared" ca="1" si="25"/>
        <v>1</v>
      </c>
      <c r="F382" s="4">
        <f t="shared" ca="1" si="23"/>
        <v>-0.54854417030625169</v>
      </c>
      <c r="G382" s="5">
        <f t="shared" ca="1" si="24"/>
        <v>-0.37538987924561074</v>
      </c>
    </row>
    <row r="383" spans="2:7" x14ac:dyDescent="0.25">
      <c r="B383" s="22">
        <v>378</v>
      </c>
      <c r="C383" s="4">
        <f t="shared" ca="1" si="26"/>
        <v>-0.29675990863167279</v>
      </c>
      <c r="D383" s="5">
        <f t="shared" ca="1" si="26"/>
        <v>-0.3501565947114782</v>
      </c>
      <c r="E383">
        <f t="shared" ca="1" si="25"/>
        <v>1</v>
      </c>
      <c r="F383" s="4">
        <f t="shared" ca="1" si="23"/>
        <v>-0.29675990863167279</v>
      </c>
      <c r="G383" s="5">
        <f t="shared" ca="1" si="24"/>
        <v>-0.3501565947114782</v>
      </c>
    </row>
    <row r="384" spans="2:7" x14ac:dyDescent="0.25">
      <c r="B384" s="22">
        <v>379</v>
      </c>
      <c r="C384" s="4">
        <f t="shared" ca="1" si="26"/>
        <v>0.23362663840905151</v>
      </c>
      <c r="D384" s="5">
        <f t="shared" ca="1" si="26"/>
        <v>0.1184964756386977</v>
      </c>
      <c r="E384">
        <f t="shared" ca="1" si="25"/>
        <v>1</v>
      </c>
      <c r="F384" s="4">
        <f t="shared" ca="1" si="23"/>
        <v>0.23362663840905151</v>
      </c>
      <c r="G384" s="5">
        <f t="shared" ca="1" si="24"/>
        <v>0.1184964756386977</v>
      </c>
    </row>
    <row r="385" spans="2:7" x14ac:dyDescent="0.25">
      <c r="B385" s="22">
        <v>380</v>
      </c>
      <c r="C385" s="4">
        <f t="shared" ca="1" si="26"/>
        <v>-0.28696104924422361</v>
      </c>
      <c r="D385" s="5">
        <f t="shared" ca="1" si="26"/>
        <v>0.37148124721544029</v>
      </c>
      <c r="E385">
        <f t="shared" ca="1" si="25"/>
        <v>1</v>
      </c>
      <c r="F385" s="4">
        <f t="shared" ca="1" si="23"/>
        <v>-0.28696104924422361</v>
      </c>
      <c r="G385" s="5">
        <f t="shared" ca="1" si="24"/>
        <v>0.37148124721544029</v>
      </c>
    </row>
    <row r="386" spans="2:7" x14ac:dyDescent="0.25">
      <c r="B386" s="22">
        <v>381</v>
      </c>
      <c r="C386" s="4">
        <f t="shared" ca="1" si="26"/>
        <v>-0.3699259501891019</v>
      </c>
      <c r="D386" s="5">
        <f t="shared" ca="1" si="26"/>
        <v>-0.6464571299655828</v>
      </c>
      <c r="E386">
        <f t="shared" ca="1" si="25"/>
        <v>1</v>
      </c>
      <c r="F386" s="4">
        <f t="shared" ca="1" si="23"/>
        <v>-0.3699259501891019</v>
      </c>
      <c r="G386" s="5">
        <f t="shared" ca="1" si="24"/>
        <v>-0.6464571299655828</v>
      </c>
    </row>
    <row r="387" spans="2:7" x14ac:dyDescent="0.25">
      <c r="B387" s="22">
        <v>382</v>
      </c>
      <c r="C387" s="4">
        <f t="shared" ca="1" si="26"/>
        <v>-0.48268762049425851</v>
      </c>
      <c r="D387" s="5">
        <f t="shared" ca="1" si="26"/>
        <v>0.36936745640412605</v>
      </c>
      <c r="E387">
        <f t="shared" ca="1" si="25"/>
        <v>1</v>
      </c>
      <c r="F387" s="4">
        <f t="shared" ca="1" si="23"/>
        <v>-0.48268762049425851</v>
      </c>
      <c r="G387" s="5">
        <f t="shared" ca="1" si="24"/>
        <v>0.36936745640412605</v>
      </c>
    </row>
    <row r="388" spans="2:7" x14ac:dyDescent="0.25">
      <c r="B388" s="22">
        <v>383</v>
      </c>
      <c r="C388" s="4">
        <f t="shared" ca="1" si="26"/>
        <v>-5.8943950844579041E-2</v>
      </c>
      <c r="D388" s="5">
        <f t="shared" ca="1" si="26"/>
        <v>-0.97143222729886425</v>
      </c>
      <c r="E388">
        <f t="shared" ca="1" si="25"/>
        <v>1</v>
      </c>
      <c r="F388" s="4">
        <f t="shared" ca="1" si="23"/>
        <v>-5.8943950844579041E-2</v>
      </c>
      <c r="G388" s="5">
        <f t="shared" ca="1" si="24"/>
        <v>-0.97143222729886425</v>
      </c>
    </row>
    <row r="389" spans="2:7" x14ac:dyDescent="0.25">
      <c r="B389" s="22">
        <v>384</v>
      </c>
      <c r="C389" s="4">
        <f t="shared" ca="1" si="26"/>
        <v>1.4013057898219605E-2</v>
      </c>
      <c r="D389" s="5">
        <f t="shared" ca="1" si="26"/>
        <v>-0.52050830759954736</v>
      </c>
      <c r="E389">
        <f t="shared" ca="1" si="25"/>
        <v>1</v>
      </c>
      <c r="F389" s="4">
        <f t="shared" ca="1" si="23"/>
        <v>1.4013057898219605E-2</v>
      </c>
      <c r="G389" s="5">
        <f t="shared" ca="1" si="24"/>
        <v>-0.52050830759954736</v>
      </c>
    </row>
    <row r="390" spans="2:7" x14ac:dyDescent="0.25">
      <c r="B390" s="22">
        <v>385</v>
      </c>
      <c r="C390" s="4">
        <f t="shared" ca="1" si="26"/>
        <v>0.7681962007878369</v>
      </c>
      <c r="D390" s="5">
        <f t="shared" ca="1" si="26"/>
        <v>-6.4624429786916737E-2</v>
      </c>
      <c r="E390">
        <f t="shared" ca="1" si="25"/>
        <v>1</v>
      </c>
      <c r="F390" s="4">
        <f t="shared" ref="F390:F453" ca="1" si="27">IF((C390^2+D390^2)&lt;1, C390, 0)</f>
        <v>0.7681962007878369</v>
      </c>
      <c r="G390" s="5">
        <f t="shared" ref="G390:G453" ca="1" si="28">IF((C390^2+D390^2)&lt;1, D390, 0)</f>
        <v>-6.4624429786916737E-2</v>
      </c>
    </row>
    <row r="391" spans="2:7" x14ac:dyDescent="0.25">
      <c r="B391" s="22">
        <v>386</v>
      </c>
      <c r="C391" s="4">
        <f t="shared" ca="1" si="26"/>
        <v>-0.79855177387957865</v>
      </c>
      <c r="D391" s="5">
        <f t="shared" ca="1" si="26"/>
        <v>0.19855676681031653</v>
      </c>
      <c r="E391">
        <f t="shared" ref="E391:E454" ca="1" si="29">IF(C391^2+D391^2&lt;1, 1, 0)</f>
        <v>1</v>
      </c>
      <c r="F391" s="4">
        <f t="shared" ca="1" si="27"/>
        <v>-0.79855177387957865</v>
      </c>
      <c r="G391" s="5">
        <f t="shared" ca="1" si="28"/>
        <v>0.19855676681031653</v>
      </c>
    </row>
    <row r="392" spans="2:7" x14ac:dyDescent="0.25">
      <c r="B392" s="22">
        <v>387</v>
      </c>
      <c r="C392" s="4">
        <f t="shared" ca="1" si="26"/>
        <v>-0.66806487502383405</v>
      </c>
      <c r="D392" s="5">
        <f t="shared" ca="1" si="26"/>
        <v>-0.47805430016442352</v>
      </c>
      <c r="E392">
        <f t="shared" ca="1" si="29"/>
        <v>1</v>
      </c>
      <c r="F392" s="4">
        <f t="shared" ca="1" si="27"/>
        <v>-0.66806487502383405</v>
      </c>
      <c r="G392" s="5">
        <f t="shared" ca="1" si="28"/>
        <v>-0.47805430016442352</v>
      </c>
    </row>
    <row r="393" spans="2:7" x14ac:dyDescent="0.25">
      <c r="B393" s="22">
        <v>388</v>
      </c>
      <c r="C393" s="4">
        <f t="shared" ca="1" si="26"/>
        <v>0.89076067054663932</v>
      </c>
      <c r="D393" s="5">
        <f t="shared" ca="1" si="26"/>
        <v>0.55959371784948675</v>
      </c>
      <c r="E393">
        <f t="shared" ca="1" si="29"/>
        <v>0</v>
      </c>
      <c r="F393" s="4">
        <f t="shared" ca="1" si="27"/>
        <v>0</v>
      </c>
      <c r="G393" s="5">
        <f t="shared" ca="1" si="28"/>
        <v>0</v>
      </c>
    </row>
    <row r="394" spans="2:7" x14ac:dyDescent="0.25">
      <c r="B394" s="22">
        <v>389</v>
      </c>
      <c r="C394" s="4">
        <f t="shared" ca="1" si="26"/>
        <v>-0.58434520377633725</v>
      </c>
      <c r="D394" s="5">
        <f t="shared" ca="1" si="26"/>
        <v>0.9514183568365453</v>
      </c>
      <c r="E394">
        <f t="shared" ca="1" si="29"/>
        <v>0</v>
      </c>
      <c r="F394" s="4">
        <f t="shared" ca="1" si="27"/>
        <v>0</v>
      </c>
      <c r="G394" s="5">
        <f t="shared" ca="1" si="28"/>
        <v>0</v>
      </c>
    </row>
    <row r="395" spans="2:7" x14ac:dyDescent="0.25">
      <c r="B395" s="22">
        <v>390</v>
      </c>
      <c r="C395" s="4">
        <f t="shared" ca="1" si="26"/>
        <v>-0.20154484586789612</v>
      </c>
      <c r="D395" s="5">
        <f t="shared" ca="1" si="26"/>
        <v>6.2675380592450036E-2</v>
      </c>
      <c r="E395">
        <f t="shared" ca="1" si="29"/>
        <v>1</v>
      </c>
      <c r="F395" s="4">
        <f t="shared" ca="1" si="27"/>
        <v>-0.20154484586789612</v>
      </c>
      <c r="G395" s="5">
        <f t="shared" ca="1" si="28"/>
        <v>6.2675380592450036E-2</v>
      </c>
    </row>
    <row r="396" spans="2:7" x14ac:dyDescent="0.25">
      <c r="B396" s="22">
        <v>391</v>
      </c>
      <c r="C396" s="4">
        <f t="shared" ca="1" si="26"/>
        <v>-0.68839566348984782</v>
      </c>
      <c r="D396" s="5">
        <f t="shared" ca="1" si="26"/>
        <v>0.28396847391363034</v>
      </c>
      <c r="E396">
        <f t="shared" ca="1" si="29"/>
        <v>1</v>
      </c>
      <c r="F396" s="4">
        <f t="shared" ca="1" si="27"/>
        <v>-0.68839566348984782</v>
      </c>
      <c r="G396" s="5">
        <f t="shared" ca="1" si="28"/>
        <v>0.28396847391363034</v>
      </c>
    </row>
    <row r="397" spans="2:7" x14ac:dyDescent="0.25">
      <c r="B397" s="22">
        <v>392</v>
      </c>
      <c r="C397" s="4">
        <f t="shared" ca="1" si="26"/>
        <v>-0.94326037300509658</v>
      </c>
      <c r="D397" s="5">
        <f t="shared" ca="1" si="26"/>
        <v>0.66234274851273889</v>
      </c>
      <c r="E397">
        <f t="shared" ca="1" si="29"/>
        <v>0</v>
      </c>
      <c r="F397" s="4">
        <f t="shared" ca="1" si="27"/>
        <v>0</v>
      </c>
      <c r="G397" s="5">
        <f t="shared" ca="1" si="28"/>
        <v>0</v>
      </c>
    </row>
    <row r="398" spans="2:7" x14ac:dyDescent="0.25">
      <c r="B398" s="22">
        <v>393</v>
      </c>
      <c r="C398" s="4">
        <f t="shared" ca="1" si="26"/>
        <v>-0.54695204290729205</v>
      </c>
      <c r="D398" s="5">
        <f t="shared" ca="1" si="26"/>
        <v>0.76500529467889233</v>
      </c>
      <c r="E398">
        <f t="shared" ca="1" si="29"/>
        <v>1</v>
      </c>
      <c r="F398" s="4">
        <f t="shared" ca="1" si="27"/>
        <v>-0.54695204290729205</v>
      </c>
      <c r="G398" s="5">
        <f t="shared" ca="1" si="28"/>
        <v>0.76500529467889233</v>
      </c>
    </row>
    <row r="399" spans="2:7" x14ac:dyDescent="0.25">
      <c r="B399" s="22">
        <v>394</v>
      </c>
      <c r="C399" s="4">
        <f t="shared" ca="1" si="26"/>
        <v>-0.89339560806220319</v>
      </c>
      <c r="D399" s="5">
        <f t="shared" ca="1" si="26"/>
        <v>0.41475486839870057</v>
      </c>
      <c r="E399">
        <f t="shared" ca="1" si="29"/>
        <v>1</v>
      </c>
      <c r="F399" s="4">
        <f t="shared" ca="1" si="27"/>
        <v>-0.89339560806220319</v>
      </c>
      <c r="G399" s="5">
        <f t="shared" ca="1" si="28"/>
        <v>0.41475486839870057</v>
      </c>
    </row>
    <row r="400" spans="2:7" x14ac:dyDescent="0.25">
      <c r="B400" s="22">
        <v>395</v>
      </c>
      <c r="C400" s="4">
        <f t="shared" ca="1" si="26"/>
        <v>9.5686854087728035E-2</v>
      </c>
      <c r="D400" s="5">
        <f t="shared" ca="1" si="26"/>
        <v>-0.89324745552508089</v>
      </c>
      <c r="E400">
        <f t="shared" ca="1" si="29"/>
        <v>1</v>
      </c>
      <c r="F400" s="4">
        <f t="shared" ca="1" si="27"/>
        <v>9.5686854087728035E-2</v>
      </c>
      <c r="G400" s="5">
        <f t="shared" ca="1" si="28"/>
        <v>-0.89324745552508089</v>
      </c>
    </row>
    <row r="401" spans="2:7" x14ac:dyDescent="0.25">
      <c r="B401" s="22">
        <v>396</v>
      </c>
      <c r="C401" s="4">
        <f t="shared" ca="1" si="26"/>
        <v>0.48358680020622313</v>
      </c>
      <c r="D401" s="5">
        <f t="shared" ca="1" si="26"/>
        <v>0.26606926363413064</v>
      </c>
      <c r="E401">
        <f t="shared" ca="1" si="29"/>
        <v>1</v>
      </c>
      <c r="F401" s="4">
        <f t="shared" ca="1" si="27"/>
        <v>0.48358680020622313</v>
      </c>
      <c r="G401" s="5">
        <f t="shared" ca="1" si="28"/>
        <v>0.26606926363413064</v>
      </c>
    </row>
    <row r="402" spans="2:7" x14ac:dyDescent="0.25">
      <c r="B402" s="22">
        <v>397</v>
      </c>
      <c r="C402" s="4">
        <f t="shared" ca="1" si="26"/>
        <v>-3.8446833787722401E-2</v>
      </c>
      <c r="D402" s="5">
        <f t="shared" ca="1" si="26"/>
        <v>-0.52478128277546654</v>
      </c>
      <c r="E402">
        <f t="shared" ca="1" si="29"/>
        <v>1</v>
      </c>
      <c r="F402" s="4">
        <f t="shared" ca="1" si="27"/>
        <v>-3.8446833787722401E-2</v>
      </c>
      <c r="G402" s="5">
        <f t="shared" ca="1" si="28"/>
        <v>-0.52478128277546654</v>
      </c>
    </row>
    <row r="403" spans="2:7" x14ac:dyDescent="0.25">
      <c r="B403" s="22">
        <v>398</v>
      </c>
      <c r="C403" s="4">
        <f t="shared" ca="1" si="26"/>
        <v>-0.13481765795147038</v>
      </c>
      <c r="D403" s="5">
        <f t="shared" ca="1" si="26"/>
        <v>0.85515587297050533</v>
      </c>
      <c r="E403">
        <f t="shared" ca="1" si="29"/>
        <v>1</v>
      </c>
      <c r="F403" s="4">
        <f t="shared" ca="1" si="27"/>
        <v>-0.13481765795147038</v>
      </c>
      <c r="G403" s="5">
        <f t="shared" ca="1" si="28"/>
        <v>0.85515587297050533</v>
      </c>
    </row>
    <row r="404" spans="2:7" x14ac:dyDescent="0.25">
      <c r="B404" s="22">
        <v>399</v>
      </c>
      <c r="C404" s="4">
        <f t="shared" ca="1" si="26"/>
        <v>-0.40180849062026236</v>
      </c>
      <c r="D404" s="5">
        <f t="shared" ca="1" si="26"/>
        <v>-6.2825860897857133E-3</v>
      </c>
      <c r="E404">
        <f t="shared" ca="1" si="29"/>
        <v>1</v>
      </c>
      <c r="F404" s="4">
        <f t="shared" ca="1" si="27"/>
        <v>-0.40180849062026236</v>
      </c>
      <c r="G404" s="5">
        <f t="shared" ca="1" si="28"/>
        <v>-6.2825860897857133E-3</v>
      </c>
    </row>
    <row r="405" spans="2:7" x14ac:dyDescent="0.25">
      <c r="B405" s="22">
        <v>400</v>
      </c>
      <c r="C405" s="4">
        <f t="shared" ca="1" si="26"/>
        <v>0.39683011937822621</v>
      </c>
      <c r="D405" s="5">
        <f t="shared" ca="1" si="26"/>
        <v>3.8130910908071636E-2</v>
      </c>
      <c r="E405">
        <f t="shared" ca="1" si="29"/>
        <v>1</v>
      </c>
      <c r="F405" s="4">
        <f t="shared" ca="1" si="27"/>
        <v>0.39683011937822621</v>
      </c>
      <c r="G405" s="5">
        <f t="shared" ca="1" si="28"/>
        <v>3.8130910908071636E-2</v>
      </c>
    </row>
    <row r="406" spans="2:7" x14ac:dyDescent="0.25">
      <c r="B406" s="22">
        <v>401</v>
      </c>
      <c r="C406" s="4">
        <f t="shared" ca="1" si="26"/>
        <v>0.15508645409432131</v>
      </c>
      <c r="D406" s="5">
        <f t="shared" ca="1" si="26"/>
        <v>-0.26095707873296958</v>
      </c>
      <c r="E406">
        <f t="shared" ca="1" si="29"/>
        <v>1</v>
      </c>
      <c r="F406" s="4">
        <f t="shared" ca="1" si="27"/>
        <v>0.15508645409432131</v>
      </c>
      <c r="G406" s="5">
        <f t="shared" ca="1" si="28"/>
        <v>-0.26095707873296958</v>
      </c>
    </row>
    <row r="407" spans="2:7" x14ac:dyDescent="0.25">
      <c r="B407" s="22">
        <v>402</v>
      </c>
      <c r="C407" s="4">
        <f t="shared" ref="C407:D470" ca="1" si="30">1-2*RAND()</f>
        <v>-0.29344567864847604</v>
      </c>
      <c r="D407" s="5">
        <f t="shared" ca="1" si="30"/>
        <v>0.64202037632238462</v>
      </c>
      <c r="E407">
        <f t="shared" ca="1" si="29"/>
        <v>1</v>
      </c>
      <c r="F407" s="4">
        <f t="shared" ca="1" si="27"/>
        <v>-0.29344567864847604</v>
      </c>
      <c r="G407" s="5">
        <f t="shared" ca="1" si="28"/>
        <v>0.64202037632238462</v>
      </c>
    </row>
    <row r="408" spans="2:7" x14ac:dyDescent="0.25">
      <c r="B408" s="22">
        <v>403</v>
      </c>
      <c r="C408" s="4">
        <f t="shared" ca="1" si="30"/>
        <v>1.1981430259764725E-2</v>
      </c>
      <c r="D408" s="5">
        <f t="shared" ca="1" si="30"/>
        <v>-0.91418813716451242</v>
      </c>
      <c r="E408">
        <f t="shared" ca="1" si="29"/>
        <v>1</v>
      </c>
      <c r="F408" s="4">
        <f t="shared" ca="1" si="27"/>
        <v>1.1981430259764725E-2</v>
      </c>
      <c r="G408" s="5">
        <f t="shared" ca="1" si="28"/>
        <v>-0.91418813716451242</v>
      </c>
    </row>
    <row r="409" spans="2:7" x14ac:dyDescent="0.25">
      <c r="B409" s="22">
        <v>404</v>
      </c>
      <c r="C409" s="4">
        <f t="shared" ca="1" si="30"/>
        <v>-0.12104687796585489</v>
      </c>
      <c r="D409" s="5">
        <f t="shared" ca="1" si="30"/>
        <v>0.76744462263510416</v>
      </c>
      <c r="E409">
        <f t="shared" ca="1" si="29"/>
        <v>1</v>
      </c>
      <c r="F409" s="4">
        <f t="shared" ca="1" si="27"/>
        <v>-0.12104687796585489</v>
      </c>
      <c r="G409" s="5">
        <f t="shared" ca="1" si="28"/>
        <v>0.76744462263510416</v>
      </c>
    </row>
    <row r="410" spans="2:7" x14ac:dyDescent="0.25">
      <c r="B410" s="22">
        <v>405</v>
      </c>
      <c r="C410" s="4">
        <f t="shared" ca="1" si="30"/>
        <v>0.69872032527140693</v>
      </c>
      <c r="D410" s="5">
        <f t="shared" ca="1" si="30"/>
        <v>0.71976733966557682</v>
      </c>
      <c r="E410">
        <f t="shared" ca="1" si="29"/>
        <v>0</v>
      </c>
      <c r="F410" s="4">
        <f t="shared" ca="1" si="27"/>
        <v>0</v>
      </c>
      <c r="G410" s="5">
        <f t="shared" ca="1" si="28"/>
        <v>0</v>
      </c>
    </row>
    <row r="411" spans="2:7" x14ac:dyDescent="0.25">
      <c r="B411" s="22">
        <v>406</v>
      </c>
      <c r="C411" s="4">
        <f t="shared" ca="1" si="30"/>
        <v>8.1502150738809176E-2</v>
      </c>
      <c r="D411" s="5">
        <f t="shared" ca="1" si="30"/>
        <v>5.2876724285755738E-2</v>
      </c>
      <c r="E411">
        <f t="shared" ca="1" si="29"/>
        <v>1</v>
      </c>
      <c r="F411" s="4">
        <f t="shared" ca="1" si="27"/>
        <v>8.1502150738809176E-2</v>
      </c>
      <c r="G411" s="5">
        <f t="shared" ca="1" si="28"/>
        <v>5.2876724285755738E-2</v>
      </c>
    </row>
    <row r="412" spans="2:7" x14ac:dyDescent="0.25">
      <c r="B412" s="22">
        <v>407</v>
      </c>
      <c r="C412" s="4">
        <f t="shared" ca="1" si="30"/>
        <v>-0.7574717663113042</v>
      </c>
      <c r="D412" s="5">
        <f t="shared" ca="1" si="30"/>
        <v>0.29646191123993804</v>
      </c>
      <c r="E412">
        <f t="shared" ca="1" si="29"/>
        <v>1</v>
      </c>
      <c r="F412" s="4">
        <f t="shared" ca="1" si="27"/>
        <v>-0.7574717663113042</v>
      </c>
      <c r="G412" s="5">
        <f t="shared" ca="1" si="28"/>
        <v>0.29646191123993804</v>
      </c>
    </row>
    <row r="413" spans="2:7" x14ac:dyDescent="0.25">
      <c r="B413" s="22">
        <v>408</v>
      </c>
      <c r="C413" s="4">
        <f t="shared" ca="1" si="30"/>
        <v>-0.38513728544971526</v>
      </c>
      <c r="D413" s="5">
        <f t="shared" ca="1" si="30"/>
        <v>-0.66908401091125591</v>
      </c>
      <c r="E413">
        <f t="shared" ca="1" si="29"/>
        <v>1</v>
      </c>
      <c r="F413" s="4">
        <f t="shared" ca="1" si="27"/>
        <v>-0.38513728544971526</v>
      </c>
      <c r="G413" s="5">
        <f t="shared" ca="1" si="28"/>
        <v>-0.66908401091125591</v>
      </c>
    </row>
    <row r="414" spans="2:7" x14ac:dyDescent="0.25">
      <c r="B414" s="22">
        <v>409</v>
      </c>
      <c r="C414" s="4">
        <f t="shared" ca="1" si="30"/>
        <v>-0.74436314493620293</v>
      </c>
      <c r="D414" s="5">
        <f t="shared" ca="1" si="30"/>
        <v>0.83402923452022026</v>
      </c>
      <c r="E414">
        <f t="shared" ca="1" si="29"/>
        <v>0</v>
      </c>
      <c r="F414" s="4">
        <f t="shared" ca="1" si="27"/>
        <v>0</v>
      </c>
      <c r="G414" s="5">
        <f t="shared" ca="1" si="28"/>
        <v>0</v>
      </c>
    </row>
    <row r="415" spans="2:7" x14ac:dyDescent="0.25">
      <c r="B415" s="22">
        <v>410</v>
      </c>
      <c r="C415" s="4">
        <f t="shared" ca="1" si="30"/>
        <v>0.83199893049882423</v>
      </c>
      <c r="D415" s="5">
        <f t="shared" ca="1" si="30"/>
        <v>0.91817876739156246</v>
      </c>
      <c r="E415">
        <f t="shared" ca="1" si="29"/>
        <v>0</v>
      </c>
      <c r="F415" s="4">
        <f t="shared" ca="1" si="27"/>
        <v>0</v>
      </c>
      <c r="G415" s="5">
        <f t="shared" ca="1" si="28"/>
        <v>0</v>
      </c>
    </row>
    <row r="416" spans="2:7" x14ac:dyDescent="0.25">
      <c r="B416" s="22">
        <v>411</v>
      </c>
      <c r="C416" s="4">
        <f t="shared" ca="1" si="30"/>
        <v>0.34910510545119311</v>
      </c>
      <c r="D416" s="5">
        <f t="shared" ca="1" si="30"/>
        <v>-0.1808241974072986</v>
      </c>
      <c r="E416">
        <f t="shared" ca="1" si="29"/>
        <v>1</v>
      </c>
      <c r="F416" s="4">
        <f t="shared" ca="1" si="27"/>
        <v>0.34910510545119311</v>
      </c>
      <c r="G416" s="5">
        <f t="shared" ca="1" si="28"/>
        <v>-0.1808241974072986</v>
      </c>
    </row>
    <row r="417" spans="2:7" x14ac:dyDescent="0.25">
      <c r="B417" s="22">
        <v>412</v>
      </c>
      <c r="C417" s="4">
        <f t="shared" ca="1" si="30"/>
        <v>1.4796781623224176E-2</v>
      </c>
      <c r="D417" s="5">
        <f t="shared" ca="1" si="30"/>
        <v>0.10721590930794611</v>
      </c>
      <c r="E417">
        <f t="shared" ca="1" si="29"/>
        <v>1</v>
      </c>
      <c r="F417" s="4">
        <f t="shared" ca="1" si="27"/>
        <v>1.4796781623224176E-2</v>
      </c>
      <c r="G417" s="5">
        <f t="shared" ca="1" si="28"/>
        <v>0.10721590930794611</v>
      </c>
    </row>
    <row r="418" spans="2:7" x14ac:dyDescent="0.25">
      <c r="B418" s="22">
        <v>413</v>
      </c>
      <c r="C418" s="4">
        <f t="shared" ca="1" si="30"/>
        <v>-0.29632568860302766</v>
      </c>
      <c r="D418" s="5">
        <f t="shared" ca="1" si="30"/>
        <v>-0.57156951534127165</v>
      </c>
      <c r="E418">
        <f t="shared" ca="1" si="29"/>
        <v>1</v>
      </c>
      <c r="F418" s="4">
        <f t="shared" ca="1" si="27"/>
        <v>-0.29632568860302766</v>
      </c>
      <c r="G418" s="5">
        <f t="shared" ca="1" si="28"/>
        <v>-0.57156951534127165</v>
      </c>
    </row>
    <row r="419" spans="2:7" x14ac:dyDescent="0.25">
      <c r="B419" s="22">
        <v>414</v>
      </c>
      <c r="C419" s="4">
        <f t="shared" ca="1" si="30"/>
        <v>-0.63850728197149875</v>
      </c>
      <c r="D419" s="5">
        <f t="shared" ca="1" si="30"/>
        <v>-6.0599841611408412E-2</v>
      </c>
      <c r="E419">
        <f t="shared" ca="1" si="29"/>
        <v>1</v>
      </c>
      <c r="F419" s="4">
        <f t="shared" ca="1" si="27"/>
        <v>-0.63850728197149875</v>
      </c>
      <c r="G419" s="5">
        <f t="shared" ca="1" si="28"/>
        <v>-6.0599841611408412E-2</v>
      </c>
    </row>
    <row r="420" spans="2:7" x14ac:dyDescent="0.25">
      <c r="B420" s="22">
        <v>415</v>
      </c>
      <c r="C420" s="4">
        <f t="shared" ca="1" si="30"/>
        <v>0.14383591264467621</v>
      </c>
      <c r="D420" s="5">
        <f t="shared" ca="1" si="30"/>
        <v>0.72574645848119967</v>
      </c>
      <c r="E420">
        <f t="shared" ca="1" si="29"/>
        <v>1</v>
      </c>
      <c r="F420" s="4">
        <f t="shared" ca="1" si="27"/>
        <v>0.14383591264467621</v>
      </c>
      <c r="G420" s="5">
        <f t="shared" ca="1" si="28"/>
        <v>0.72574645848119967</v>
      </c>
    </row>
    <row r="421" spans="2:7" x14ac:dyDescent="0.25">
      <c r="B421" s="22">
        <v>416</v>
      </c>
      <c r="C421" s="4">
        <f t="shared" ca="1" si="30"/>
        <v>-0.34667574540158186</v>
      </c>
      <c r="D421" s="5">
        <f t="shared" ca="1" si="30"/>
        <v>0.60344211781638979</v>
      </c>
      <c r="E421">
        <f t="shared" ca="1" si="29"/>
        <v>1</v>
      </c>
      <c r="F421" s="4">
        <f t="shared" ca="1" si="27"/>
        <v>-0.34667574540158186</v>
      </c>
      <c r="G421" s="5">
        <f t="shared" ca="1" si="28"/>
        <v>0.60344211781638979</v>
      </c>
    </row>
    <row r="422" spans="2:7" x14ac:dyDescent="0.25">
      <c r="B422" s="22">
        <v>417</v>
      </c>
      <c r="C422" s="4">
        <f t="shared" ca="1" si="30"/>
        <v>-0.37776643067068205</v>
      </c>
      <c r="D422" s="5">
        <f t="shared" ca="1" si="30"/>
        <v>-0.15258456865491676</v>
      </c>
      <c r="E422">
        <f t="shared" ca="1" si="29"/>
        <v>1</v>
      </c>
      <c r="F422" s="4">
        <f t="shared" ca="1" si="27"/>
        <v>-0.37776643067068205</v>
      </c>
      <c r="G422" s="5">
        <f t="shared" ca="1" si="28"/>
        <v>-0.15258456865491676</v>
      </c>
    </row>
    <row r="423" spans="2:7" x14ac:dyDescent="0.25">
      <c r="B423" s="22">
        <v>418</v>
      </c>
      <c r="C423" s="4">
        <f t="shared" ca="1" si="30"/>
        <v>0.87363326483591108</v>
      </c>
      <c r="D423" s="5">
        <f t="shared" ca="1" si="30"/>
        <v>-3.6943487017184973E-2</v>
      </c>
      <c r="E423">
        <f t="shared" ca="1" si="29"/>
        <v>1</v>
      </c>
      <c r="F423" s="4">
        <f t="shared" ca="1" si="27"/>
        <v>0.87363326483591108</v>
      </c>
      <c r="G423" s="5">
        <f t="shared" ca="1" si="28"/>
        <v>-3.6943487017184973E-2</v>
      </c>
    </row>
    <row r="424" spans="2:7" x14ac:dyDescent="0.25">
      <c r="B424" s="22">
        <v>419</v>
      </c>
      <c r="C424" s="4">
        <f t="shared" ca="1" si="30"/>
        <v>-0.36323531406831089</v>
      </c>
      <c r="D424" s="5">
        <f t="shared" ca="1" si="30"/>
        <v>-0.53203214108489072</v>
      </c>
      <c r="E424">
        <f t="shared" ca="1" si="29"/>
        <v>1</v>
      </c>
      <c r="F424" s="4">
        <f t="shared" ca="1" si="27"/>
        <v>-0.36323531406831089</v>
      </c>
      <c r="G424" s="5">
        <f t="shared" ca="1" si="28"/>
        <v>-0.53203214108489072</v>
      </c>
    </row>
    <row r="425" spans="2:7" x14ac:dyDescent="0.25">
      <c r="B425" s="22">
        <v>420</v>
      </c>
      <c r="C425" s="4">
        <f t="shared" ca="1" si="30"/>
        <v>0.46544128339655289</v>
      </c>
      <c r="D425" s="5">
        <f t="shared" ca="1" si="30"/>
        <v>-8.1335565213107142E-2</v>
      </c>
      <c r="E425">
        <f t="shared" ca="1" si="29"/>
        <v>1</v>
      </c>
      <c r="F425" s="4">
        <f t="shared" ca="1" si="27"/>
        <v>0.46544128339655289</v>
      </c>
      <c r="G425" s="5">
        <f t="shared" ca="1" si="28"/>
        <v>-8.1335565213107142E-2</v>
      </c>
    </row>
    <row r="426" spans="2:7" x14ac:dyDescent="0.25">
      <c r="B426" s="22">
        <v>421</v>
      </c>
      <c r="C426" s="4">
        <f t="shared" ca="1" si="30"/>
        <v>-0.54089459733338363</v>
      </c>
      <c r="D426" s="5">
        <f t="shared" ca="1" si="30"/>
        <v>-0.7031371249174081</v>
      </c>
      <c r="E426">
        <f t="shared" ca="1" si="29"/>
        <v>1</v>
      </c>
      <c r="F426" s="4">
        <f t="shared" ca="1" si="27"/>
        <v>-0.54089459733338363</v>
      </c>
      <c r="G426" s="5">
        <f t="shared" ca="1" si="28"/>
        <v>-0.7031371249174081</v>
      </c>
    </row>
    <row r="427" spans="2:7" x14ac:dyDescent="0.25">
      <c r="B427" s="22">
        <v>422</v>
      </c>
      <c r="C427" s="4">
        <f t="shared" ca="1" si="30"/>
        <v>0.86688926506452546</v>
      </c>
      <c r="D427" s="5">
        <f t="shared" ca="1" si="30"/>
        <v>-0.39455981219825298</v>
      </c>
      <c r="E427">
        <f t="shared" ca="1" si="29"/>
        <v>1</v>
      </c>
      <c r="F427" s="4">
        <f t="shared" ca="1" si="27"/>
        <v>0.86688926506452546</v>
      </c>
      <c r="G427" s="5">
        <f t="shared" ca="1" si="28"/>
        <v>-0.39455981219825298</v>
      </c>
    </row>
    <row r="428" spans="2:7" x14ac:dyDescent="0.25">
      <c r="B428" s="22">
        <v>423</v>
      </c>
      <c r="C428" s="4">
        <f t="shared" ca="1" si="30"/>
        <v>-0.86606763808294529</v>
      </c>
      <c r="D428" s="5">
        <f t="shared" ca="1" si="30"/>
        <v>-0.65797335530704171</v>
      </c>
      <c r="E428">
        <f t="shared" ca="1" si="29"/>
        <v>0</v>
      </c>
      <c r="F428" s="4">
        <f t="shared" ca="1" si="27"/>
        <v>0</v>
      </c>
      <c r="G428" s="5">
        <f t="shared" ca="1" si="28"/>
        <v>0</v>
      </c>
    </row>
    <row r="429" spans="2:7" x14ac:dyDescent="0.25">
      <c r="B429" s="22">
        <v>424</v>
      </c>
      <c r="C429" s="4">
        <f t="shared" ca="1" si="30"/>
        <v>-0.63611346674650693</v>
      </c>
      <c r="D429" s="5">
        <f t="shared" ca="1" si="30"/>
        <v>0.69797855649322504</v>
      </c>
      <c r="E429">
        <f t="shared" ca="1" si="29"/>
        <v>1</v>
      </c>
      <c r="F429" s="4">
        <f t="shared" ca="1" si="27"/>
        <v>-0.63611346674650693</v>
      </c>
      <c r="G429" s="5">
        <f t="shared" ca="1" si="28"/>
        <v>0.69797855649322504</v>
      </c>
    </row>
    <row r="430" spans="2:7" x14ac:dyDescent="0.25">
      <c r="B430" s="22">
        <v>425</v>
      </c>
      <c r="C430" s="4">
        <f t="shared" ca="1" si="30"/>
        <v>0.34439715382442704</v>
      </c>
      <c r="D430" s="5">
        <f t="shared" ca="1" si="30"/>
        <v>0.58084379264247299</v>
      </c>
      <c r="E430">
        <f t="shared" ca="1" si="29"/>
        <v>1</v>
      </c>
      <c r="F430" s="4">
        <f t="shared" ca="1" si="27"/>
        <v>0.34439715382442704</v>
      </c>
      <c r="G430" s="5">
        <f t="shared" ca="1" si="28"/>
        <v>0.58084379264247299</v>
      </c>
    </row>
    <row r="431" spans="2:7" x14ac:dyDescent="0.25">
      <c r="B431" s="22">
        <v>426</v>
      </c>
      <c r="C431" s="4">
        <f t="shared" ca="1" si="30"/>
        <v>0.40091030553370177</v>
      </c>
      <c r="D431" s="5">
        <f t="shared" ca="1" si="30"/>
        <v>-0.58153375387704154</v>
      </c>
      <c r="E431">
        <f t="shared" ca="1" si="29"/>
        <v>1</v>
      </c>
      <c r="F431" s="4">
        <f t="shared" ca="1" si="27"/>
        <v>0.40091030553370177</v>
      </c>
      <c r="G431" s="5">
        <f t="shared" ca="1" si="28"/>
        <v>-0.58153375387704154</v>
      </c>
    </row>
    <row r="432" spans="2:7" x14ac:dyDescent="0.25">
      <c r="B432" s="22">
        <v>427</v>
      </c>
      <c r="C432" s="4">
        <f t="shared" ca="1" si="30"/>
        <v>-0.59746739310730934</v>
      </c>
      <c r="D432" s="5">
        <f t="shared" ca="1" si="30"/>
        <v>0.9048113020431432</v>
      </c>
      <c r="E432">
        <f t="shared" ca="1" si="29"/>
        <v>0</v>
      </c>
      <c r="F432" s="4">
        <f t="shared" ca="1" si="27"/>
        <v>0</v>
      </c>
      <c r="G432" s="5">
        <f t="shared" ca="1" si="28"/>
        <v>0</v>
      </c>
    </row>
    <row r="433" spans="2:7" x14ac:dyDescent="0.25">
      <c r="B433" s="22">
        <v>428</v>
      </c>
      <c r="C433" s="4">
        <f t="shared" ca="1" si="30"/>
        <v>-0.24448502543829442</v>
      </c>
      <c r="D433" s="5">
        <f t="shared" ca="1" si="30"/>
        <v>-0.89747778387088739</v>
      </c>
      <c r="E433">
        <f t="shared" ca="1" si="29"/>
        <v>1</v>
      </c>
      <c r="F433" s="4">
        <f t="shared" ca="1" si="27"/>
        <v>-0.24448502543829442</v>
      </c>
      <c r="G433" s="5">
        <f t="shared" ca="1" si="28"/>
        <v>-0.89747778387088739</v>
      </c>
    </row>
    <row r="434" spans="2:7" x14ac:dyDescent="0.25">
      <c r="B434" s="22">
        <v>429</v>
      </c>
      <c r="C434" s="4">
        <f t="shared" ca="1" si="30"/>
        <v>0.47759650080932703</v>
      </c>
      <c r="D434" s="5">
        <f t="shared" ca="1" si="30"/>
        <v>0.2170052142085459</v>
      </c>
      <c r="E434">
        <f t="shared" ca="1" si="29"/>
        <v>1</v>
      </c>
      <c r="F434" s="4">
        <f t="shared" ca="1" si="27"/>
        <v>0.47759650080932703</v>
      </c>
      <c r="G434" s="5">
        <f t="shared" ca="1" si="28"/>
        <v>0.2170052142085459</v>
      </c>
    </row>
    <row r="435" spans="2:7" x14ac:dyDescent="0.25">
      <c r="B435" s="22">
        <v>430</v>
      </c>
      <c r="C435" s="4">
        <f t="shared" ca="1" si="30"/>
        <v>-0.43116562039504958</v>
      </c>
      <c r="D435" s="5">
        <f t="shared" ca="1" si="30"/>
        <v>0.64501598106898705</v>
      </c>
      <c r="E435">
        <f t="shared" ca="1" si="29"/>
        <v>1</v>
      </c>
      <c r="F435" s="4">
        <f t="shared" ca="1" si="27"/>
        <v>-0.43116562039504958</v>
      </c>
      <c r="G435" s="5">
        <f t="shared" ca="1" si="28"/>
        <v>0.64501598106898705</v>
      </c>
    </row>
    <row r="436" spans="2:7" x14ac:dyDescent="0.25">
      <c r="B436" s="22">
        <v>431</v>
      </c>
      <c r="C436" s="4">
        <f t="shared" ca="1" si="30"/>
        <v>0.59914161815903277</v>
      </c>
      <c r="D436" s="5">
        <f t="shared" ca="1" si="30"/>
        <v>-0.81571684101168729</v>
      </c>
      <c r="E436">
        <f t="shared" ca="1" si="29"/>
        <v>0</v>
      </c>
      <c r="F436" s="4">
        <f t="shared" ca="1" si="27"/>
        <v>0</v>
      </c>
      <c r="G436" s="5">
        <f t="shared" ca="1" si="28"/>
        <v>0</v>
      </c>
    </row>
    <row r="437" spans="2:7" x14ac:dyDescent="0.25">
      <c r="B437" s="22">
        <v>432</v>
      </c>
      <c r="C437" s="4">
        <f t="shared" ca="1" si="30"/>
        <v>0.10418684086674768</v>
      </c>
      <c r="D437" s="5">
        <f t="shared" ca="1" si="30"/>
        <v>-0.78100522113567417</v>
      </c>
      <c r="E437">
        <f t="shared" ca="1" si="29"/>
        <v>1</v>
      </c>
      <c r="F437" s="4">
        <f t="shared" ca="1" si="27"/>
        <v>0.10418684086674768</v>
      </c>
      <c r="G437" s="5">
        <f t="shared" ca="1" si="28"/>
        <v>-0.78100522113567417</v>
      </c>
    </row>
    <row r="438" spans="2:7" x14ac:dyDescent="0.25">
      <c r="B438" s="22">
        <v>433</v>
      </c>
      <c r="C438" s="4">
        <f t="shared" ca="1" si="30"/>
        <v>0.36484999292358911</v>
      </c>
      <c r="D438" s="5">
        <f t="shared" ca="1" si="30"/>
        <v>0.3365782967480242</v>
      </c>
      <c r="E438">
        <f t="shared" ca="1" si="29"/>
        <v>1</v>
      </c>
      <c r="F438" s="4">
        <f t="shared" ca="1" si="27"/>
        <v>0.36484999292358911</v>
      </c>
      <c r="G438" s="5">
        <f t="shared" ca="1" si="28"/>
        <v>0.3365782967480242</v>
      </c>
    </row>
    <row r="439" spans="2:7" x14ac:dyDescent="0.25">
      <c r="B439" s="22">
        <v>434</v>
      </c>
      <c r="C439" s="4">
        <f t="shared" ca="1" si="30"/>
        <v>0.93146649730637354</v>
      </c>
      <c r="D439" s="5">
        <f t="shared" ca="1" si="30"/>
        <v>-0.58370074806415606</v>
      </c>
      <c r="E439">
        <f t="shared" ca="1" si="29"/>
        <v>0</v>
      </c>
      <c r="F439" s="4">
        <f t="shared" ca="1" si="27"/>
        <v>0</v>
      </c>
      <c r="G439" s="5">
        <f t="shared" ca="1" si="28"/>
        <v>0</v>
      </c>
    </row>
    <row r="440" spans="2:7" x14ac:dyDescent="0.25">
      <c r="B440" s="22">
        <v>435</v>
      </c>
      <c r="C440" s="4">
        <f t="shared" ca="1" si="30"/>
        <v>0.91545479655842743</v>
      </c>
      <c r="D440" s="5">
        <f t="shared" ca="1" si="30"/>
        <v>1.8698707252372326E-2</v>
      </c>
      <c r="E440">
        <f t="shared" ca="1" si="29"/>
        <v>1</v>
      </c>
      <c r="F440" s="4">
        <f t="shared" ca="1" si="27"/>
        <v>0.91545479655842743</v>
      </c>
      <c r="G440" s="5">
        <f t="shared" ca="1" si="28"/>
        <v>1.8698707252372326E-2</v>
      </c>
    </row>
    <row r="441" spans="2:7" x14ac:dyDescent="0.25">
      <c r="B441" s="22">
        <v>436</v>
      </c>
      <c r="C441" s="4">
        <f t="shared" ca="1" si="30"/>
        <v>0.93539144101398297</v>
      </c>
      <c r="D441" s="5">
        <f t="shared" ca="1" si="30"/>
        <v>-0.13331746400478184</v>
      </c>
      <c r="E441">
        <f t="shared" ca="1" si="29"/>
        <v>1</v>
      </c>
      <c r="F441" s="4">
        <f t="shared" ca="1" si="27"/>
        <v>0.93539144101398297</v>
      </c>
      <c r="G441" s="5">
        <f t="shared" ca="1" si="28"/>
        <v>-0.13331746400478184</v>
      </c>
    </row>
    <row r="442" spans="2:7" x14ac:dyDescent="0.25">
      <c r="B442" s="22">
        <v>437</v>
      </c>
      <c r="C442" s="4">
        <f t="shared" ca="1" si="30"/>
        <v>0.51972683116318596</v>
      </c>
      <c r="D442" s="5">
        <f t="shared" ca="1" si="30"/>
        <v>0.9483175298312605</v>
      </c>
      <c r="E442">
        <f t="shared" ca="1" si="29"/>
        <v>0</v>
      </c>
      <c r="F442" s="4">
        <f t="shared" ca="1" si="27"/>
        <v>0</v>
      </c>
      <c r="G442" s="5">
        <f t="shared" ca="1" si="28"/>
        <v>0</v>
      </c>
    </row>
    <row r="443" spans="2:7" x14ac:dyDescent="0.25">
      <c r="B443" s="22">
        <v>438</v>
      </c>
      <c r="C443" s="4">
        <f t="shared" ca="1" si="30"/>
        <v>-0.15457959869460836</v>
      </c>
      <c r="D443" s="5">
        <f t="shared" ca="1" si="30"/>
        <v>-0.8946395740318227</v>
      </c>
      <c r="E443">
        <f t="shared" ca="1" si="29"/>
        <v>1</v>
      </c>
      <c r="F443" s="4">
        <f t="shared" ca="1" si="27"/>
        <v>-0.15457959869460836</v>
      </c>
      <c r="G443" s="5">
        <f t="shared" ca="1" si="28"/>
        <v>-0.8946395740318227</v>
      </c>
    </row>
    <row r="444" spans="2:7" x14ac:dyDescent="0.25">
      <c r="B444" s="22">
        <v>439</v>
      </c>
      <c r="C444" s="4">
        <f t="shared" ca="1" si="30"/>
        <v>0.36722173247729373</v>
      </c>
      <c r="D444" s="5">
        <f t="shared" ca="1" si="30"/>
        <v>-0.1261872203656067</v>
      </c>
      <c r="E444">
        <f t="shared" ca="1" si="29"/>
        <v>1</v>
      </c>
      <c r="F444" s="4">
        <f t="shared" ca="1" si="27"/>
        <v>0.36722173247729373</v>
      </c>
      <c r="G444" s="5">
        <f t="shared" ca="1" si="28"/>
        <v>-0.1261872203656067</v>
      </c>
    </row>
    <row r="445" spans="2:7" x14ac:dyDescent="0.25">
      <c r="B445" s="22">
        <v>440</v>
      </c>
      <c r="C445" s="4">
        <f t="shared" ca="1" si="30"/>
        <v>-0.51985785485511626</v>
      </c>
      <c r="D445" s="5">
        <f t="shared" ca="1" si="30"/>
        <v>-0.80297370960123482</v>
      </c>
      <c r="E445">
        <f t="shared" ca="1" si="29"/>
        <v>1</v>
      </c>
      <c r="F445" s="4">
        <f t="shared" ca="1" si="27"/>
        <v>-0.51985785485511626</v>
      </c>
      <c r="G445" s="5">
        <f t="shared" ca="1" si="28"/>
        <v>-0.80297370960123482</v>
      </c>
    </row>
    <row r="446" spans="2:7" x14ac:dyDescent="0.25">
      <c r="B446" s="22">
        <v>441</v>
      </c>
      <c r="C446" s="4">
        <f t="shared" ca="1" si="30"/>
        <v>0.98233759076380567</v>
      </c>
      <c r="D446" s="5">
        <f t="shared" ca="1" si="30"/>
        <v>-0.13329682425068112</v>
      </c>
      <c r="E446">
        <f t="shared" ca="1" si="29"/>
        <v>1</v>
      </c>
      <c r="F446" s="4">
        <f t="shared" ca="1" si="27"/>
        <v>0.98233759076380567</v>
      </c>
      <c r="G446" s="5">
        <f t="shared" ca="1" si="28"/>
        <v>-0.13329682425068112</v>
      </c>
    </row>
    <row r="447" spans="2:7" x14ac:dyDescent="0.25">
      <c r="B447" s="22">
        <v>442</v>
      </c>
      <c r="C447" s="4">
        <f t="shared" ca="1" si="30"/>
        <v>-0.8383117838892995</v>
      </c>
      <c r="D447" s="5">
        <f t="shared" ca="1" si="30"/>
        <v>-0.84392673995505341</v>
      </c>
      <c r="E447">
        <f t="shared" ca="1" si="29"/>
        <v>0</v>
      </c>
      <c r="F447" s="4">
        <f t="shared" ca="1" si="27"/>
        <v>0</v>
      </c>
      <c r="G447" s="5">
        <f t="shared" ca="1" si="28"/>
        <v>0</v>
      </c>
    </row>
    <row r="448" spans="2:7" x14ac:dyDescent="0.25">
      <c r="B448" s="22">
        <v>443</v>
      </c>
      <c r="C448" s="4">
        <f t="shared" ca="1" si="30"/>
        <v>0.52715795535134236</v>
      </c>
      <c r="D448" s="5">
        <f t="shared" ca="1" si="30"/>
        <v>-0.59719735945296559</v>
      </c>
      <c r="E448">
        <f t="shared" ca="1" si="29"/>
        <v>1</v>
      </c>
      <c r="F448" s="4">
        <f t="shared" ca="1" si="27"/>
        <v>0.52715795535134236</v>
      </c>
      <c r="G448" s="5">
        <f t="shared" ca="1" si="28"/>
        <v>-0.59719735945296559</v>
      </c>
    </row>
    <row r="449" spans="2:7" x14ac:dyDescent="0.25">
      <c r="B449" s="22">
        <v>444</v>
      </c>
      <c r="C449" s="4">
        <f t="shared" ca="1" si="30"/>
        <v>0.37978270636838474</v>
      </c>
      <c r="D449" s="5">
        <f t="shared" ca="1" si="30"/>
        <v>0.88254500754592136</v>
      </c>
      <c r="E449">
        <f t="shared" ca="1" si="29"/>
        <v>1</v>
      </c>
      <c r="F449" s="4">
        <f t="shared" ca="1" si="27"/>
        <v>0.37978270636838474</v>
      </c>
      <c r="G449" s="5">
        <f t="shared" ca="1" si="28"/>
        <v>0.88254500754592136</v>
      </c>
    </row>
    <row r="450" spans="2:7" x14ac:dyDescent="0.25">
      <c r="B450" s="22">
        <v>445</v>
      </c>
      <c r="C450" s="4">
        <f t="shared" ca="1" si="30"/>
        <v>0.59077427929712045</v>
      </c>
      <c r="D450" s="5">
        <f t="shared" ca="1" si="30"/>
        <v>0.35714099205926142</v>
      </c>
      <c r="E450">
        <f t="shared" ca="1" si="29"/>
        <v>1</v>
      </c>
      <c r="F450" s="4">
        <f t="shared" ca="1" si="27"/>
        <v>0.59077427929712045</v>
      </c>
      <c r="G450" s="5">
        <f t="shared" ca="1" si="28"/>
        <v>0.35714099205926142</v>
      </c>
    </row>
    <row r="451" spans="2:7" x14ac:dyDescent="0.25">
      <c r="B451" s="22">
        <v>446</v>
      </c>
      <c r="C451" s="4">
        <f t="shared" ca="1" si="30"/>
        <v>0.36140221007327789</v>
      </c>
      <c r="D451" s="5">
        <f t="shared" ca="1" si="30"/>
        <v>-5.293977944608752E-2</v>
      </c>
      <c r="E451">
        <f t="shared" ca="1" si="29"/>
        <v>1</v>
      </c>
      <c r="F451" s="4">
        <f t="shared" ca="1" si="27"/>
        <v>0.36140221007327789</v>
      </c>
      <c r="G451" s="5">
        <f t="shared" ca="1" si="28"/>
        <v>-5.293977944608752E-2</v>
      </c>
    </row>
    <row r="452" spans="2:7" x14ac:dyDescent="0.25">
      <c r="B452" s="22">
        <v>447</v>
      </c>
      <c r="C452" s="4">
        <f t="shared" ca="1" si="30"/>
        <v>0.6637534485731087</v>
      </c>
      <c r="D452" s="5">
        <f t="shared" ca="1" si="30"/>
        <v>2.0894075724604555E-3</v>
      </c>
      <c r="E452">
        <f t="shared" ca="1" si="29"/>
        <v>1</v>
      </c>
      <c r="F452" s="4">
        <f t="shared" ca="1" si="27"/>
        <v>0.6637534485731087</v>
      </c>
      <c r="G452" s="5">
        <f t="shared" ca="1" si="28"/>
        <v>2.0894075724604555E-3</v>
      </c>
    </row>
    <row r="453" spans="2:7" x14ac:dyDescent="0.25">
      <c r="B453" s="22">
        <v>448</v>
      </c>
      <c r="C453" s="4">
        <f t="shared" ca="1" si="30"/>
        <v>-0.85879214640863144</v>
      </c>
      <c r="D453" s="5">
        <f t="shared" ca="1" si="30"/>
        <v>-0.96335082203221822</v>
      </c>
      <c r="E453">
        <f t="shared" ca="1" si="29"/>
        <v>0</v>
      </c>
      <c r="F453" s="4">
        <f t="shared" ca="1" si="27"/>
        <v>0</v>
      </c>
      <c r="G453" s="5">
        <f t="shared" ca="1" si="28"/>
        <v>0</v>
      </c>
    </row>
    <row r="454" spans="2:7" x14ac:dyDescent="0.25">
      <c r="B454" s="22">
        <v>449</v>
      </c>
      <c r="C454" s="4">
        <f t="shared" ca="1" si="30"/>
        <v>-0.88714175492672931</v>
      </c>
      <c r="D454" s="5">
        <f t="shared" ca="1" si="30"/>
        <v>0.40235382086476368</v>
      </c>
      <c r="E454">
        <f t="shared" ca="1" si="29"/>
        <v>1</v>
      </c>
      <c r="F454" s="4">
        <f t="shared" ref="F454:F517" ca="1" si="31">IF((C454^2+D454^2)&lt;1, C454, 0)</f>
        <v>-0.88714175492672931</v>
      </c>
      <c r="G454" s="5">
        <f t="shared" ref="G454:G517" ca="1" si="32">IF((C454^2+D454^2)&lt;1, D454, 0)</f>
        <v>0.40235382086476368</v>
      </c>
    </row>
    <row r="455" spans="2:7" x14ac:dyDescent="0.25">
      <c r="B455" s="22">
        <v>450</v>
      </c>
      <c r="C455" s="4">
        <f t="shared" ca="1" si="30"/>
        <v>0.77134429566482399</v>
      </c>
      <c r="D455" s="5">
        <f t="shared" ca="1" si="30"/>
        <v>0.91153621303119081</v>
      </c>
      <c r="E455">
        <f t="shared" ref="E455:E518" ca="1" si="33">IF(C455^2+D455^2&lt;1, 1, 0)</f>
        <v>0</v>
      </c>
      <c r="F455" s="4">
        <f t="shared" ca="1" si="31"/>
        <v>0</v>
      </c>
      <c r="G455" s="5">
        <f t="shared" ca="1" si="32"/>
        <v>0</v>
      </c>
    </row>
    <row r="456" spans="2:7" x14ac:dyDescent="0.25">
      <c r="B456" s="22">
        <v>451</v>
      </c>
      <c r="C456" s="4">
        <f t="shared" ca="1" si="30"/>
        <v>0.4543494359441913</v>
      </c>
      <c r="D456" s="5">
        <f t="shared" ca="1" si="30"/>
        <v>0.54695310863247415</v>
      </c>
      <c r="E456">
        <f t="shared" ca="1" si="33"/>
        <v>1</v>
      </c>
      <c r="F456" s="4">
        <f t="shared" ca="1" si="31"/>
        <v>0.4543494359441913</v>
      </c>
      <c r="G456" s="5">
        <f t="shared" ca="1" si="32"/>
        <v>0.54695310863247415</v>
      </c>
    </row>
    <row r="457" spans="2:7" x14ac:dyDescent="0.25">
      <c r="B457" s="22">
        <v>452</v>
      </c>
      <c r="C457" s="4">
        <f t="shared" ca="1" si="30"/>
        <v>0.39828681414136669</v>
      </c>
      <c r="D457" s="5">
        <f t="shared" ca="1" si="30"/>
        <v>0.81871706769705477</v>
      </c>
      <c r="E457">
        <f t="shared" ca="1" si="33"/>
        <v>1</v>
      </c>
      <c r="F457" s="4">
        <f t="shared" ca="1" si="31"/>
        <v>0.39828681414136669</v>
      </c>
      <c r="G457" s="5">
        <f t="shared" ca="1" si="32"/>
        <v>0.81871706769705477</v>
      </c>
    </row>
    <row r="458" spans="2:7" x14ac:dyDescent="0.25">
      <c r="B458" s="22">
        <v>453</v>
      </c>
      <c r="C458" s="4">
        <f t="shared" ca="1" si="30"/>
        <v>0.58671455937517636</v>
      </c>
      <c r="D458" s="5">
        <f t="shared" ca="1" si="30"/>
        <v>-0.28764051025938397</v>
      </c>
      <c r="E458">
        <f t="shared" ca="1" si="33"/>
        <v>1</v>
      </c>
      <c r="F458" s="4">
        <f t="shared" ca="1" si="31"/>
        <v>0.58671455937517636</v>
      </c>
      <c r="G458" s="5">
        <f t="shared" ca="1" si="32"/>
        <v>-0.28764051025938397</v>
      </c>
    </row>
    <row r="459" spans="2:7" x14ac:dyDescent="0.25">
      <c r="B459" s="22">
        <v>454</v>
      </c>
      <c r="C459" s="4">
        <f t="shared" ca="1" si="30"/>
        <v>-0.98705302153535435</v>
      </c>
      <c r="D459" s="5">
        <f t="shared" ca="1" si="30"/>
        <v>0.12687466247417922</v>
      </c>
      <c r="E459">
        <f t="shared" ca="1" si="33"/>
        <v>1</v>
      </c>
      <c r="F459" s="4">
        <f t="shared" ca="1" si="31"/>
        <v>-0.98705302153535435</v>
      </c>
      <c r="G459" s="5">
        <f t="shared" ca="1" si="32"/>
        <v>0.12687466247417922</v>
      </c>
    </row>
    <row r="460" spans="2:7" x14ac:dyDescent="0.25">
      <c r="B460" s="22">
        <v>455</v>
      </c>
      <c r="C460" s="4">
        <f t="shared" ca="1" si="30"/>
        <v>-0.85582078187655442</v>
      </c>
      <c r="D460" s="5">
        <f t="shared" ca="1" si="30"/>
        <v>-0.63737017315834388</v>
      </c>
      <c r="E460">
        <f t="shared" ca="1" si="33"/>
        <v>0</v>
      </c>
      <c r="F460" s="4">
        <f t="shared" ca="1" si="31"/>
        <v>0</v>
      </c>
      <c r="G460" s="5">
        <f t="shared" ca="1" si="32"/>
        <v>0</v>
      </c>
    </row>
    <row r="461" spans="2:7" x14ac:dyDescent="0.25">
      <c r="B461" s="22">
        <v>456</v>
      </c>
      <c r="C461" s="4">
        <f t="shared" ca="1" si="30"/>
        <v>0.31659315459198689</v>
      </c>
      <c r="D461" s="5">
        <f t="shared" ca="1" si="30"/>
        <v>0.77684394002401325</v>
      </c>
      <c r="E461">
        <f t="shared" ca="1" si="33"/>
        <v>1</v>
      </c>
      <c r="F461" s="4">
        <f t="shared" ca="1" si="31"/>
        <v>0.31659315459198689</v>
      </c>
      <c r="G461" s="5">
        <f t="shared" ca="1" si="32"/>
        <v>0.77684394002401325</v>
      </c>
    </row>
    <row r="462" spans="2:7" x14ac:dyDescent="0.25">
      <c r="B462" s="22">
        <v>457</v>
      </c>
      <c r="C462" s="4">
        <f t="shared" ca="1" si="30"/>
        <v>-0.44522696851535715</v>
      </c>
      <c r="D462" s="5">
        <f t="shared" ca="1" si="30"/>
        <v>0.56725050708062463</v>
      </c>
      <c r="E462">
        <f t="shared" ca="1" si="33"/>
        <v>1</v>
      </c>
      <c r="F462" s="4">
        <f t="shared" ca="1" si="31"/>
        <v>-0.44522696851535715</v>
      </c>
      <c r="G462" s="5">
        <f t="shared" ca="1" si="32"/>
        <v>0.56725050708062463</v>
      </c>
    </row>
    <row r="463" spans="2:7" x14ac:dyDescent="0.25">
      <c r="B463" s="22">
        <v>458</v>
      </c>
      <c r="C463" s="4">
        <f t="shared" ca="1" si="30"/>
        <v>0.15811404565140164</v>
      </c>
      <c r="D463" s="5">
        <f t="shared" ca="1" si="30"/>
        <v>-0.68717996303418349</v>
      </c>
      <c r="E463">
        <f t="shared" ca="1" si="33"/>
        <v>1</v>
      </c>
      <c r="F463" s="4">
        <f t="shared" ca="1" si="31"/>
        <v>0.15811404565140164</v>
      </c>
      <c r="G463" s="5">
        <f t="shared" ca="1" si="32"/>
        <v>-0.68717996303418349</v>
      </c>
    </row>
    <row r="464" spans="2:7" x14ac:dyDescent="0.25">
      <c r="B464" s="22">
        <v>459</v>
      </c>
      <c r="C464" s="4">
        <f t="shared" ca="1" si="30"/>
        <v>0.93435040920242196</v>
      </c>
      <c r="D464" s="5">
        <f t="shared" ca="1" si="30"/>
        <v>0.81154221897208423</v>
      </c>
      <c r="E464">
        <f t="shared" ca="1" si="33"/>
        <v>0</v>
      </c>
      <c r="F464" s="4">
        <f t="shared" ca="1" si="31"/>
        <v>0</v>
      </c>
      <c r="G464" s="5">
        <f t="shared" ca="1" si="32"/>
        <v>0</v>
      </c>
    </row>
    <row r="465" spans="2:7" x14ac:dyDescent="0.25">
      <c r="B465" s="22">
        <v>460</v>
      </c>
      <c r="C465" s="4">
        <f t="shared" ca="1" si="30"/>
        <v>4.1512090370590338E-2</v>
      </c>
      <c r="D465" s="5">
        <f t="shared" ca="1" si="30"/>
        <v>0.33794318695040326</v>
      </c>
      <c r="E465">
        <f t="shared" ca="1" si="33"/>
        <v>1</v>
      </c>
      <c r="F465" s="4">
        <f t="shared" ca="1" si="31"/>
        <v>4.1512090370590338E-2</v>
      </c>
      <c r="G465" s="5">
        <f t="shared" ca="1" si="32"/>
        <v>0.33794318695040326</v>
      </c>
    </row>
    <row r="466" spans="2:7" x14ac:dyDescent="0.25">
      <c r="B466" s="22">
        <v>461</v>
      </c>
      <c r="C466" s="4">
        <f t="shared" ca="1" si="30"/>
        <v>0.61669442344789038</v>
      </c>
      <c r="D466" s="5">
        <f t="shared" ca="1" si="30"/>
        <v>-0.32972762531621158</v>
      </c>
      <c r="E466">
        <f t="shared" ca="1" si="33"/>
        <v>1</v>
      </c>
      <c r="F466" s="4">
        <f t="shared" ca="1" si="31"/>
        <v>0.61669442344789038</v>
      </c>
      <c r="G466" s="5">
        <f t="shared" ca="1" si="32"/>
        <v>-0.32972762531621158</v>
      </c>
    </row>
    <row r="467" spans="2:7" x14ac:dyDescent="0.25">
      <c r="B467" s="22">
        <v>462</v>
      </c>
      <c r="C467" s="4">
        <f t="shared" ca="1" si="30"/>
        <v>0.74778726807817697</v>
      </c>
      <c r="D467" s="5">
        <f t="shared" ca="1" si="30"/>
        <v>0.97540510243696232</v>
      </c>
      <c r="E467">
        <f t="shared" ca="1" si="33"/>
        <v>0</v>
      </c>
      <c r="F467" s="4">
        <f t="shared" ca="1" si="31"/>
        <v>0</v>
      </c>
      <c r="G467" s="5">
        <f t="shared" ca="1" si="32"/>
        <v>0</v>
      </c>
    </row>
    <row r="468" spans="2:7" x14ac:dyDescent="0.25">
      <c r="B468" s="22">
        <v>463</v>
      </c>
      <c r="C468" s="4">
        <f t="shared" ca="1" si="30"/>
        <v>0.38372606608896898</v>
      </c>
      <c r="D468" s="5">
        <f t="shared" ca="1" si="30"/>
        <v>-0.86336979226153021</v>
      </c>
      <c r="E468">
        <f t="shared" ca="1" si="33"/>
        <v>1</v>
      </c>
      <c r="F468" s="4">
        <f t="shared" ca="1" si="31"/>
        <v>0.38372606608896898</v>
      </c>
      <c r="G468" s="5">
        <f t="shared" ca="1" si="32"/>
        <v>-0.86336979226153021</v>
      </c>
    </row>
    <row r="469" spans="2:7" x14ac:dyDescent="0.25">
      <c r="B469" s="22">
        <v>464</v>
      </c>
      <c r="C469" s="4">
        <f t="shared" ca="1" si="30"/>
        <v>0.97117490217392555</v>
      </c>
      <c r="D469" s="5">
        <f t="shared" ca="1" si="30"/>
        <v>0.96685313965291941</v>
      </c>
      <c r="E469">
        <f t="shared" ca="1" si="33"/>
        <v>0</v>
      </c>
      <c r="F469" s="4">
        <f t="shared" ca="1" si="31"/>
        <v>0</v>
      </c>
      <c r="G469" s="5">
        <f t="shared" ca="1" si="32"/>
        <v>0</v>
      </c>
    </row>
    <row r="470" spans="2:7" x14ac:dyDescent="0.25">
      <c r="B470" s="22">
        <v>465</v>
      </c>
      <c r="C470" s="4">
        <f t="shared" ca="1" si="30"/>
        <v>-0.74688217372016119</v>
      </c>
      <c r="D470" s="5">
        <f t="shared" ca="1" si="30"/>
        <v>0.21807604002791736</v>
      </c>
      <c r="E470">
        <f t="shared" ca="1" si="33"/>
        <v>1</v>
      </c>
      <c r="F470" s="4">
        <f t="shared" ca="1" si="31"/>
        <v>-0.74688217372016119</v>
      </c>
      <c r="G470" s="5">
        <f t="shared" ca="1" si="32"/>
        <v>0.21807604002791736</v>
      </c>
    </row>
    <row r="471" spans="2:7" x14ac:dyDescent="0.25">
      <c r="B471" s="22">
        <v>466</v>
      </c>
      <c r="C471" s="4">
        <f t="shared" ref="C471:D534" ca="1" si="34">1-2*RAND()</f>
        <v>0.46036360560756062</v>
      </c>
      <c r="D471" s="5">
        <f t="shared" ca="1" si="34"/>
        <v>-0.53843245906822124</v>
      </c>
      <c r="E471">
        <f t="shared" ca="1" si="33"/>
        <v>1</v>
      </c>
      <c r="F471" s="4">
        <f t="shared" ca="1" si="31"/>
        <v>0.46036360560756062</v>
      </c>
      <c r="G471" s="5">
        <f t="shared" ca="1" si="32"/>
        <v>-0.53843245906822124</v>
      </c>
    </row>
    <row r="472" spans="2:7" x14ac:dyDescent="0.25">
      <c r="B472" s="22">
        <v>467</v>
      </c>
      <c r="C472" s="4">
        <f t="shared" ca="1" si="34"/>
        <v>0.84313016854298017</v>
      </c>
      <c r="D472" s="5">
        <f t="shared" ca="1" si="34"/>
        <v>0.72339207445162224</v>
      </c>
      <c r="E472">
        <f t="shared" ca="1" si="33"/>
        <v>0</v>
      </c>
      <c r="F472" s="4">
        <f t="shared" ca="1" si="31"/>
        <v>0</v>
      </c>
      <c r="G472" s="5">
        <f t="shared" ca="1" si="32"/>
        <v>0</v>
      </c>
    </row>
    <row r="473" spans="2:7" x14ac:dyDescent="0.25">
      <c r="B473" s="22">
        <v>468</v>
      </c>
      <c r="C473" s="4">
        <f t="shared" ca="1" si="34"/>
        <v>0.98212927211020595</v>
      </c>
      <c r="D473" s="5">
        <f t="shared" ca="1" si="34"/>
        <v>-0.49848403909084937</v>
      </c>
      <c r="E473">
        <f t="shared" ca="1" si="33"/>
        <v>0</v>
      </c>
      <c r="F473" s="4">
        <f t="shared" ca="1" si="31"/>
        <v>0</v>
      </c>
      <c r="G473" s="5">
        <f t="shared" ca="1" si="32"/>
        <v>0</v>
      </c>
    </row>
    <row r="474" spans="2:7" x14ac:dyDescent="0.25">
      <c r="B474" s="22">
        <v>469</v>
      </c>
      <c r="C474" s="4">
        <f t="shared" ca="1" si="34"/>
        <v>0.8868774307215066</v>
      </c>
      <c r="D474" s="5">
        <f t="shared" ca="1" si="34"/>
        <v>-0.37751693327270486</v>
      </c>
      <c r="E474">
        <f t="shared" ca="1" si="33"/>
        <v>1</v>
      </c>
      <c r="F474" s="4">
        <f t="shared" ca="1" si="31"/>
        <v>0.8868774307215066</v>
      </c>
      <c r="G474" s="5">
        <f t="shared" ca="1" si="32"/>
        <v>-0.37751693327270486</v>
      </c>
    </row>
    <row r="475" spans="2:7" x14ac:dyDescent="0.25">
      <c r="B475" s="22">
        <v>470</v>
      </c>
      <c r="C475" s="4">
        <f t="shared" ca="1" si="34"/>
        <v>3.1112802781419147E-2</v>
      </c>
      <c r="D475" s="5">
        <f t="shared" ca="1" si="34"/>
        <v>0.27226932870497378</v>
      </c>
      <c r="E475">
        <f t="shared" ca="1" si="33"/>
        <v>1</v>
      </c>
      <c r="F475" s="4">
        <f t="shared" ca="1" si="31"/>
        <v>3.1112802781419147E-2</v>
      </c>
      <c r="G475" s="5">
        <f t="shared" ca="1" si="32"/>
        <v>0.27226932870497378</v>
      </c>
    </row>
    <row r="476" spans="2:7" x14ac:dyDescent="0.25">
      <c r="B476" s="22">
        <v>471</v>
      </c>
      <c r="C476" s="4">
        <f t="shared" ca="1" si="34"/>
        <v>-0.21705102808440935</v>
      </c>
      <c r="D476" s="5">
        <f t="shared" ca="1" si="34"/>
        <v>-0.29450756807595524</v>
      </c>
      <c r="E476">
        <f t="shared" ca="1" si="33"/>
        <v>1</v>
      </c>
      <c r="F476" s="4">
        <f t="shared" ca="1" si="31"/>
        <v>-0.21705102808440935</v>
      </c>
      <c r="G476" s="5">
        <f t="shared" ca="1" si="32"/>
        <v>-0.29450756807595524</v>
      </c>
    </row>
    <row r="477" spans="2:7" x14ac:dyDescent="0.25">
      <c r="B477" s="22">
        <v>472</v>
      </c>
      <c r="C477" s="4">
        <f t="shared" ca="1" si="34"/>
        <v>1.9271452135678269E-2</v>
      </c>
      <c r="D477" s="5">
        <f t="shared" ca="1" si="34"/>
        <v>0.20671768932049894</v>
      </c>
      <c r="E477">
        <f t="shared" ca="1" si="33"/>
        <v>1</v>
      </c>
      <c r="F477" s="4">
        <f t="shared" ca="1" si="31"/>
        <v>1.9271452135678269E-2</v>
      </c>
      <c r="G477" s="5">
        <f t="shared" ca="1" si="32"/>
        <v>0.20671768932049894</v>
      </c>
    </row>
    <row r="478" spans="2:7" x14ac:dyDescent="0.25">
      <c r="B478" s="22">
        <v>473</v>
      </c>
      <c r="C478" s="4">
        <f t="shared" ca="1" si="34"/>
        <v>-0.88282807771441973</v>
      </c>
      <c r="D478" s="5">
        <f t="shared" ca="1" si="34"/>
        <v>0.35617669055971257</v>
      </c>
      <c r="E478">
        <f t="shared" ca="1" si="33"/>
        <v>1</v>
      </c>
      <c r="F478" s="4">
        <f t="shared" ca="1" si="31"/>
        <v>-0.88282807771441973</v>
      </c>
      <c r="G478" s="5">
        <f t="shared" ca="1" si="32"/>
        <v>0.35617669055971257</v>
      </c>
    </row>
    <row r="479" spans="2:7" x14ac:dyDescent="0.25">
      <c r="B479" s="22">
        <v>474</v>
      </c>
      <c r="C479" s="4">
        <f t="shared" ca="1" si="34"/>
        <v>0.81563344970005147</v>
      </c>
      <c r="D479" s="5">
        <f t="shared" ca="1" si="34"/>
        <v>-0.35524721676499982</v>
      </c>
      <c r="E479">
        <f t="shared" ca="1" si="33"/>
        <v>1</v>
      </c>
      <c r="F479" s="4">
        <f t="shared" ca="1" si="31"/>
        <v>0.81563344970005147</v>
      </c>
      <c r="G479" s="5">
        <f t="shared" ca="1" si="32"/>
        <v>-0.35524721676499982</v>
      </c>
    </row>
    <row r="480" spans="2:7" x14ac:dyDescent="0.25">
      <c r="B480" s="22">
        <v>475</v>
      </c>
      <c r="C480" s="4">
        <f t="shared" ca="1" si="34"/>
        <v>-0.15864625361612128</v>
      </c>
      <c r="D480" s="5">
        <f t="shared" ca="1" si="34"/>
        <v>-0.93713920342232626</v>
      </c>
      <c r="E480">
        <f t="shared" ca="1" si="33"/>
        <v>1</v>
      </c>
      <c r="F480" s="4">
        <f t="shared" ca="1" si="31"/>
        <v>-0.15864625361612128</v>
      </c>
      <c r="G480" s="5">
        <f t="shared" ca="1" si="32"/>
        <v>-0.93713920342232626</v>
      </c>
    </row>
    <row r="481" spans="2:7" x14ac:dyDescent="0.25">
      <c r="B481" s="22">
        <v>476</v>
      </c>
      <c r="C481" s="4">
        <f t="shared" ca="1" si="34"/>
        <v>0.54681331149159318</v>
      </c>
      <c r="D481" s="5">
        <f t="shared" ca="1" si="34"/>
        <v>0.96292629577591082</v>
      </c>
      <c r="E481">
        <f t="shared" ca="1" si="33"/>
        <v>0</v>
      </c>
      <c r="F481" s="4">
        <f t="shared" ca="1" si="31"/>
        <v>0</v>
      </c>
      <c r="G481" s="5">
        <f t="shared" ca="1" si="32"/>
        <v>0</v>
      </c>
    </row>
    <row r="482" spans="2:7" x14ac:dyDescent="0.25">
      <c r="B482" s="22">
        <v>477</v>
      </c>
      <c r="C482" s="4">
        <f t="shared" ca="1" si="34"/>
        <v>-0.37367337391565081</v>
      </c>
      <c r="D482" s="5">
        <f t="shared" ca="1" si="34"/>
        <v>0.43502314587250668</v>
      </c>
      <c r="E482">
        <f t="shared" ca="1" si="33"/>
        <v>1</v>
      </c>
      <c r="F482" s="4">
        <f t="shared" ca="1" si="31"/>
        <v>-0.37367337391565081</v>
      </c>
      <c r="G482" s="5">
        <f t="shared" ca="1" si="32"/>
        <v>0.43502314587250668</v>
      </c>
    </row>
    <row r="483" spans="2:7" x14ac:dyDescent="0.25">
      <c r="B483" s="22">
        <v>478</v>
      </c>
      <c r="C483" s="4">
        <f t="shared" ca="1" si="34"/>
        <v>6.0433721992418699E-2</v>
      </c>
      <c r="D483" s="5">
        <f t="shared" ca="1" si="34"/>
        <v>-0.76809940274049926</v>
      </c>
      <c r="E483">
        <f t="shared" ca="1" si="33"/>
        <v>1</v>
      </c>
      <c r="F483" s="4">
        <f t="shared" ca="1" si="31"/>
        <v>6.0433721992418699E-2</v>
      </c>
      <c r="G483" s="5">
        <f t="shared" ca="1" si="32"/>
        <v>-0.76809940274049926</v>
      </c>
    </row>
    <row r="484" spans="2:7" x14ac:dyDescent="0.25">
      <c r="B484" s="22">
        <v>479</v>
      </c>
      <c r="C484" s="4">
        <f t="shared" ca="1" si="34"/>
        <v>0.94763781518125612</v>
      </c>
      <c r="D484" s="5">
        <f t="shared" ca="1" si="34"/>
        <v>-0.35239140690362758</v>
      </c>
      <c r="E484">
        <f t="shared" ca="1" si="33"/>
        <v>0</v>
      </c>
      <c r="F484" s="4">
        <f t="shared" ca="1" si="31"/>
        <v>0</v>
      </c>
      <c r="G484" s="5">
        <f t="shared" ca="1" si="32"/>
        <v>0</v>
      </c>
    </row>
    <row r="485" spans="2:7" x14ac:dyDescent="0.25">
      <c r="B485" s="22">
        <v>480</v>
      </c>
      <c r="C485" s="4">
        <f t="shared" ca="1" si="34"/>
        <v>-0.1973361615385234</v>
      </c>
      <c r="D485" s="5">
        <f t="shared" ca="1" si="34"/>
        <v>-8.8440851182440827E-3</v>
      </c>
      <c r="E485">
        <f t="shared" ca="1" si="33"/>
        <v>1</v>
      </c>
      <c r="F485" s="4">
        <f t="shared" ca="1" si="31"/>
        <v>-0.1973361615385234</v>
      </c>
      <c r="G485" s="5">
        <f t="shared" ca="1" si="32"/>
        <v>-8.8440851182440827E-3</v>
      </c>
    </row>
    <row r="486" spans="2:7" x14ac:dyDescent="0.25">
      <c r="B486" s="22">
        <v>481</v>
      </c>
      <c r="C486" s="4">
        <f t="shared" ca="1" si="34"/>
        <v>0.52429189125627507</v>
      </c>
      <c r="D486" s="5">
        <f t="shared" ca="1" si="34"/>
        <v>-0.43338924087095831</v>
      </c>
      <c r="E486">
        <f t="shared" ca="1" si="33"/>
        <v>1</v>
      </c>
      <c r="F486" s="4">
        <f t="shared" ca="1" si="31"/>
        <v>0.52429189125627507</v>
      </c>
      <c r="G486" s="5">
        <f t="shared" ca="1" si="32"/>
        <v>-0.43338924087095831</v>
      </c>
    </row>
    <row r="487" spans="2:7" x14ac:dyDescent="0.25">
      <c r="B487" s="22">
        <v>482</v>
      </c>
      <c r="C487" s="4">
        <f t="shared" ca="1" si="34"/>
        <v>0.18603070775942565</v>
      </c>
      <c r="D487" s="5">
        <f t="shared" ca="1" si="34"/>
        <v>-0.26581052943725125</v>
      </c>
      <c r="E487">
        <f t="shared" ca="1" si="33"/>
        <v>1</v>
      </c>
      <c r="F487" s="4">
        <f t="shared" ca="1" si="31"/>
        <v>0.18603070775942565</v>
      </c>
      <c r="G487" s="5">
        <f t="shared" ca="1" si="32"/>
        <v>-0.26581052943725125</v>
      </c>
    </row>
    <row r="488" spans="2:7" x14ac:dyDescent="0.25">
      <c r="B488" s="22">
        <v>483</v>
      </c>
      <c r="C488" s="4">
        <f t="shared" ca="1" si="34"/>
        <v>0.78138190707180377</v>
      </c>
      <c r="D488" s="5">
        <f t="shared" ca="1" si="34"/>
        <v>0.31692057492149472</v>
      </c>
      <c r="E488">
        <f t="shared" ca="1" si="33"/>
        <v>1</v>
      </c>
      <c r="F488" s="4">
        <f t="shared" ca="1" si="31"/>
        <v>0.78138190707180377</v>
      </c>
      <c r="G488" s="5">
        <f t="shared" ca="1" si="32"/>
        <v>0.31692057492149472</v>
      </c>
    </row>
    <row r="489" spans="2:7" x14ac:dyDescent="0.25">
      <c r="B489" s="22">
        <v>484</v>
      </c>
      <c r="C489" s="4">
        <f t="shared" ca="1" si="34"/>
        <v>-0.9571204396214259</v>
      </c>
      <c r="D489" s="5">
        <f t="shared" ca="1" si="34"/>
        <v>0.83059276447276109</v>
      </c>
      <c r="E489">
        <f t="shared" ca="1" si="33"/>
        <v>0</v>
      </c>
      <c r="F489" s="4">
        <f t="shared" ca="1" si="31"/>
        <v>0</v>
      </c>
      <c r="G489" s="5">
        <f t="shared" ca="1" si="32"/>
        <v>0</v>
      </c>
    </row>
    <row r="490" spans="2:7" x14ac:dyDescent="0.25">
      <c r="B490" s="22">
        <v>485</v>
      </c>
      <c r="C490" s="4">
        <f t="shared" ca="1" si="34"/>
        <v>0.6635750029581271</v>
      </c>
      <c r="D490" s="5">
        <f t="shared" ca="1" si="34"/>
        <v>-0.87217266547688177</v>
      </c>
      <c r="E490">
        <f t="shared" ca="1" si="33"/>
        <v>0</v>
      </c>
      <c r="F490" s="4">
        <f t="shared" ca="1" si="31"/>
        <v>0</v>
      </c>
      <c r="G490" s="5">
        <f t="shared" ca="1" si="32"/>
        <v>0</v>
      </c>
    </row>
    <row r="491" spans="2:7" x14ac:dyDescent="0.25">
      <c r="B491" s="22">
        <v>486</v>
      </c>
      <c r="C491" s="4">
        <f t="shared" ca="1" si="34"/>
        <v>-0.5939586435604407</v>
      </c>
      <c r="D491" s="5">
        <f t="shared" ca="1" si="34"/>
        <v>0.73907922517243474</v>
      </c>
      <c r="E491">
        <f t="shared" ca="1" si="33"/>
        <v>1</v>
      </c>
      <c r="F491" s="4">
        <f t="shared" ca="1" si="31"/>
        <v>-0.5939586435604407</v>
      </c>
      <c r="G491" s="5">
        <f t="shared" ca="1" si="32"/>
        <v>0.73907922517243474</v>
      </c>
    </row>
    <row r="492" spans="2:7" x14ac:dyDescent="0.25">
      <c r="B492" s="22">
        <v>487</v>
      </c>
      <c r="C492" s="4">
        <f t="shared" ca="1" si="34"/>
        <v>-7.9293893499077672E-2</v>
      </c>
      <c r="D492" s="5">
        <f t="shared" ca="1" si="34"/>
        <v>-0.29508766975424527</v>
      </c>
      <c r="E492">
        <f t="shared" ca="1" si="33"/>
        <v>1</v>
      </c>
      <c r="F492" s="4">
        <f t="shared" ca="1" si="31"/>
        <v>-7.9293893499077672E-2</v>
      </c>
      <c r="G492" s="5">
        <f t="shared" ca="1" si="32"/>
        <v>-0.29508766975424527</v>
      </c>
    </row>
    <row r="493" spans="2:7" x14ac:dyDescent="0.25">
      <c r="B493" s="22">
        <v>488</v>
      </c>
      <c r="C493" s="4">
        <f t="shared" ca="1" si="34"/>
        <v>-0.18693601406647642</v>
      </c>
      <c r="D493" s="5">
        <f t="shared" ca="1" si="34"/>
        <v>0.79739906434740004</v>
      </c>
      <c r="E493">
        <f t="shared" ca="1" si="33"/>
        <v>1</v>
      </c>
      <c r="F493" s="4">
        <f t="shared" ca="1" si="31"/>
        <v>-0.18693601406647642</v>
      </c>
      <c r="G493" s="5">
        <f t="shared" ca="1" si="32"/>
        <v>0.79739906434740004</v>
      </c>
    </row>
    <row r="494" spans="2:7" x14ac:dyDescent="0.25">
      <c r="B494" s="22">
        <v>489</v>
      </c>
      <c r="C494" s="4">
        <f t="shared" ca="1" si="34"/>
        <v>-0.57445956952290089</v>
      </c>
      <c r="D494" s="5">
        <f t="shared" ca="1" si="34"/>
        <v>-0.77721487662869126</v>
      </c>
      <c r="E494">
        <f t="shared" ca="1" si="33"/>
        <v>1</v>
      </c>
      <c r="F494" s="4">
        <f t="shared" ca="1" si="31"/>
        <v>-0.57445956952290089</v>
      </c>
      <c r="G494" s="5">
        <f t="shared" ca="1" si="32"/>
        <v>-0.77721487662869126</v>
      </c>
    </row>
    <row r="495" spans="2:7" x14ac:dyDescent="0.25">
      <c r="B495" s="22">
        <v>490</v>
      </c>
      <c r="C495" s="4">
        <f t="shared" ca="1" si="34"/>
        <v>0.57049313087506959</v>
      </c>
      <c r="D495" s="5">
        <f t="shared" ca="1" si="34"/>
        <v>-0.42424786515930757</v>
      </c>
      <c r="E495">
        <f t="shared" ca="1" si="33"/>
        <v>1</v>
      </c>
      <c r="F495" s="4">
        <f t="shared" ca="1" si="31"/>
        <v>0.57049313087506959</v>
      </c>
      <c r="G495" s="5">
        <f t="shared" ca="1" si="32"/>
        <v>-0.42424786515930757</v>
      </c>
    </row>
    <row r="496" spans="2:7" x14ac:dyDescent="0.25">
      <c r="B496" s="22">
        <v>491</v>
      </c>
      <c r="C496" s="4">
        <f t="shared" ca="1" si="34"/>
        <v>-0.1483620707824207</v>
      </c>
      <c r="D496" s="5">
        <f t="shared" ca="1" si="34"/>
        <v>-0.3231331470310852</v>
      </c>
      <c r="E496">
        <f t="shared" ca="1" si="33"/>
        <v>1</v>
      </c>
      <c r="F496" s="4">
        <f t="shared" ca="1" si="31"/>
        <v>-0.1483620707824207</v>
      </c>
      <c r="G496" s="5">
        <f t="shared" ca="1" si="32"/>
        <v>-0.3231331470310852</v>
      </c>
    </row>
    <row r="497" spans="2:7" x14ac:dyDescent="0.25">
      <c r="B497" s="22">
        <v>492</v>
      </c>
      <c r="C497" s="4">
        <f t="shared" ca="1" si="34"/>
        <v>-0.80422715482949636</v>
      </c>
      <c r="D497" s="5">
        <f t="shared" ca="1" si="34"/>
        <v>0.89950525213238541</v>
      </c>
      <c r="E497">
        <f t="shared" ca="1" si="33"/>
        <v>0</v>
      </c>
      <c r="F497" s="4">
        <f t="shared" ca="1" si="31"/>
        <v>0</v>
      </c>
      <c r="G497" s="5">
        <f t="shared" ca="1" si="32"/>
        <v>0</v>
      </c>
    </row>
    <row r="498" spans="2:7" x14ac:dyDescent="0.25">
      <c r="B498" s="22">
        <v>493</v>
      </c>
      <c r="C498" s="4">
        <f t="shared" ca="1" si="34"/>
        <v>-0.24472999208914303</v>
      </c>
      <c r="D498" s="5">
        <f t="shared" ca="1" si="34"/>
        <v>-9.7211038541455519E-2</v>
      </c>
      <c r="E498">
        <f t="shared" ca="1" si="33"/>
        <v>1</v>
      </c>
      <c r="F498" s="4">
        <f t="shared" ca="1" si="31"/>
        <v>-0.24472999208914303</v>
      </c>
      <c r="G498" s="5">
        <f t="shared" ca="1" si="32"/>
        <v>-9.7211038541455519E-2</v>
      </c>
    </row>
    <row r="499" spans="2:7" x14ac:dyDescent="0.25">
      <c r="B499" s="22">
        <v>494</v>
      </c>
      <c r="C499" s="4">
        <f t="shared" ca="1" si="34"/>
        <v>0.79693018450605346</v>
      </c>
      <c r="D499" s="5">
        <f t="shared" ca="1" si="34"/>
        <v>-0.88306965571972706</v>
      </c>
      <c r="E499">
        <f t="shared" ca="1" si="33"/>
        <v>0</v>
      </c>
      <c r="F499" s="4">
        <f t="shared" ca="1" si="31"/>
        <v>0</v>
      </c>
      <c r="G499" s="5">
        <f t="shared" ca="1" si="32"/>
        <v>0</v>
      </c>
    </row>
    <row r="500" spans="2:7" x14ac:dyDescent="0.25">
      <c r="B500" s="22">
        <v>495</v>
      </c>
      <c r="C500" s="4">
        <f t="shared" ca="1" si="34"/>
        <v>0.77453698487795353</v>
      </c>
      <c r="D500" s="5">
        <f t="shared" ca="1" si="34"/>
        <v>-0.62472289432864359</v>
      </c>
      <c r="E500">
        <f t="shared" ca="1" si="33"/>
        <v>1</v>
      </c>
      <c r="F500" s="4">
        <f t="shared" ca="1" si="31"/>
        <v>0.77453698487795353</v>
      </c>
      <c r="G500" s="5">
        <f t="shared" ca="1" si="32"/>
        <v>-0.62472289432864359</v>
      </c>
    </row>
    <row r="501" spans="2:7" x14ac:dyDescent="0.25">
      <c r="B501" s="22">
        <v>496</v>
      </c>
      <c r="C501" s="4">
        <f t="shared" ca="1" si="34"/>
        <v>0.45972574904812147</v>
      </c>
      <c r="D501" s="5">
        <f t="shared" ca="1" si="34"/>
        <v>0.81642911101190418</v>
      </c>
      <c r="E501">
        <f t="shared" ca="1" si="33"/>
        <v>1</v>
      </c>
      <c r="F501" s="4">
        <f t="shared" ca="1" si="31"/>
        <v>0.45972574904812147</v>
      </c>
      <c r="G501" s="5">
        <f t="shared" ca="1" si="32"/>
        <v>0.81642911101190418</v>
      </c>
    </row>
    <row r="502" spans="2:7" x14ac:dyDescent="0.25">
      <c r="B502" s="22">
        <v>497</v>
      </c>
      <c r="C502" s="4">
        <f t="shared" ca="1" si="34"/>
        <v>0.91211301326561278</v>
      </c>
      <c r="D502" s="5">
        <f t="shared" ca="1" si="34"/>
        <v>0.77111595551084466</v>
      </c>
      <c r="E502">
        <f t="shared" ca="1" si="33"/>
        <v>0</v>
      </c>
      <c r="F502" s="4">
        <f t="shared" ca="1" si="31"/>
        <v>0</v>
      </c>
      <c r="G502" s="5">
        <f t="shared" ca="1" si="32"/>
        <v>0</v>
      </c>
    </row>
    <row r="503" spans="2:7" x14ac:dyDescent="0.25">
      <c r="B503" s="22">
        <v>498</v>
      </c>
      <c r="C503" s="4">
        <f t="shared" ca="1" si="34"/>
        <v>-6.4734052647940521E-2</v>
      </c>
      <c r="D503" s="5">
        <f t="shared" ca="1" si="34"/>
        <v>0.27202911625765802</v>
      </c>
      <c r="E503">
        <f t="shared" ca="1" si="33"/>
        <v>1</v>
      </c>
      <c r="F503" s="4">
        <f t="shared" ca="1" si="31"/>
        <v>-6.4734052647940521E-2</v>
      </c>
      <c r="G503" s="5">
        <f t="shared" ca="1" si="32"/>
        <v>0.27202911625765802</v>
      </c>
    </row>
    <row r="504" spans="2:7" x14ac:dyDescent="0.25">
      <c r="B504" s="22">
        <v>499</v>
      </c>
      <c r="C504" s="4">
        <f t="shared" ca="1" si="34"/>
        <v>0.36809379338397918</v>
      </c>
      <c r="D504" s="5">
        <f t="shared" ca="1" si="34"/>
        <v>-0.70825350282789246</v>
      </c>
      <c r="E504">
        <f t="shared" ca="1" si="33"/>
        <v>1</v>
      </c>
      <c r="F504" s="4">
        <f t="shared" ca="1" si="31"/>
        <v>0.36809379338397918</v>
      </c>
      <c r="G504" s="5">
        <f t="shared" ca="1" si="32"/>
        <v>-0.70825350282789246</v>
      </c>
    </row>
    <row r="505" spans="2:7" x14ac:dyDescent="0.25">
      <c r="B505" s="22">
        <v>500</v>
      </c>
      <c r="C505" s="4">
        <f t="shared" ca="1" si="34"/>
        <v>0.84654531120442722</v>
      </c>
      <c r="D505" s="5">
        <f t="shared" ca="1" si="34"/>
        <v>-0.4554161476106986</v>
      </c>
      <c r="E505">
        <f t="shared" ca="1" si="33"/>
        <v>1</v>
      </c>
      <c r="F505" s="4">
        <f t="shared" ca="1" si="31"/>
        <v>0.84654531120442722</v>
      </c>
      <c r="G505" s="5">
        <f t="shared" ca="1" si="32"/>
        <v>-0.4554161476106986</v>
      </c>
    </row>
    <row r="506" spans="2:7" x14ac:dyDescent="0.25">
      <c r="B506" s="22">
        <v>501</v>
      </c>
      <c r="C506" s="4">
        <f t="shared" ca="1" si="34"/>
        <v>-0.98424343844822926</v>
      </c>
      <c r="D506" s="5">
        <f t="shared" ca="1" si="34"/>
        <v>0.66763378488437142</v>
      </c>
      <c r="E506">
        <f t="shared" ca="1" si="33"/>
        <v>0</v>
      </c>
      <c r="F506" s="4">
        <f t="shared" ca="1" si="31"/>
        <v>0</v>
      </c>
      <c r="G506" s="5">
        <f t="shared" ca="1" si="32"/>
        <v>0</v>
      </c>
    </row>
    <row r="507" spans="2:7" x14ac:dyDescent="0.25">
      <c r="B507" s="22">
        <v>502</v>
      </c>
      <c r="C507" s="4">
        <f t="shared" ca="1" si="34"/>
        <v>0.58925766734970964</v>
      </c>
      <c r="D507" s="5">
        <f t="shared" ca="1" si="34"/>
        <v>-8.3019114128110028E-2</v>
      </c>
      <c r="E507">
        <f t="shared" ca="1" si="33"/>
        <v>1</v>
      </c>
      <c r="F507" s="4">
        <f t="shared" ca="1" si="31"/>
        <v>0.58925766734970964</v>
      </c>
      <c r="G507" s="5">
        <f t="shared" ca="1" si="32"/>
        <v>-8.3019114128110028E-2</v>
      </c>
    </row>
    <row r="508" spans="2:7" x14ac:dyDescent="0.25">
      <c r="B508" s="22">
        <v>503</v>
      </c>
      <c r="C508" s="4">
        <f t="shared" ca="1" si="34"/>
        <v>-0.87130544683596201</v>
      </c>
      <c r="D508" s="5">
        <f t="shared" ca="1" si="34"/>
        <v>-0.32461047003340382</v>
      </c>
      <c r="E508">
        <f t="shared" ca="1" si="33"/>
        <v>1</v>
      </c>
      <c r="F508" s="4">
        <f t="shared" ca="1" si="31"/>
        <v>-0.87130544683596201</v>
      </c>
      <c r="G508" s="5">
        <f t="shared" ca="1" si="32"/>
        <v>-0.32461047003340382</v>
      </c>
    </row>
    <row r="509" spans="2:7" x14ac:dyDescent="0.25">
      <c r="B509" s="22">
        <v>504</v>
      </c>
      <c r="C509" s="4">
        <f t="shared" ca="1" si="34"/>
        <v>0.42478384831466021</v>
      </c>
      <c r="D509" s="5">
        <f t="shared" ca="1" si="34"/>
        <v>-0.17500562855947277</v>
      </c>
      <c r="E509">
        <f t="shared" ca="1" si="33"/>
        <v>1</v>
      </c>
      <c r="F509" s="4">
        <f t="shared" ca="1" si="31"/>
        <v>0.42478384831466021</v>
      </c>
      <c r="G509" s="5">
        <f t="shared" ca="1" si="32"/>
        <v>-0.17500562855947277</v>
      </c>
    </row>
    <row r="510" spans="2:7" x14ac:dyDescent="0.25">
      <c r="B510" s="22">
        <v>505</v>
      </c>
      <c r="C510" s="4">
        <f t="shared" ca="1" si="34"/>
        <v>-0.6191476559388831</v>
      </c>
      <c r="D510" s="5">
        <f t="shared" ca="1" si="34"/>
        <v>-0.99956450812329334</v>
      </c>
      <c r="E510">
        <f t="shared" ca="1" si="33"/>
        <v>0</v>
      </c>
      <c r="F510" s="4">
        <f t="shared" ca="1" si="31"/>
        <v>0</v>
      </c>
      <c r="G510" s="5">
        <f t="shared" ca="1" si="32"/>
        <v>0</v>
      </c>
    </row>
    <row r="511" spans="2:7" x14ac:dyDescent="0.25">
      <c r="B511" s="22">
        <v>506</v>
      </c>
      <c r="C511" s="4">
        <f t="shared" ca="1" si="34"/>
        <v>0.26550820754646254</v>
      </c>
      <c r="D511" s="5">
        <f t="shared" ca="1" si="34"/>
        <v>-2.1297433646650266E-2</v>
      </c>
      <c r="E511">
        <f t="shared" ca="1" si="33"/>
        <v>1</v>
      </c>
      <c r="F511" s="4">
        <f t="shared" ca="1" si="31"/>
        <v>0.26550820754646254</v>
      </c>
      <c r="G511" s="5">
        <f t="shared" ca="1" si="32"/>
        <v>-2.1297433646650266E-2</v>
      </c>
    </row>
    <row r="512" spans="2:7" x14ac:dyDescent="0.25">
      <c r="B512" s="22">
        <v>507</v>
      </c>
      <c r="C512" s="4">
        <f t="shared" ca="1" si="34"/>
        <v>-0.69006106536097489</v>
      </c>
      <c r="D512" s="5">
        <f t="shared" ca="1" si="34"/>
        <v>0.5938984180548692</v>
      </c>
      <c r="E512">
        <f t="shared" ca="1" si="33"/>
        <v>1</v>
      </c>
      <c r="F512" s="4">
        <f t="shared" ca="1" si="31"/>
        <v>-0.69006106536097489</v>
      </c>
      <c r="G512" s="5">
        <f t="shared" ca="1" si="32"/>
        <v>0.5938984180548692</v>
      </c>
    </row>
    <row r="513" spans="2:7" x14ac:dyDescent="0.25">
      <c r="B513" s="22">
        <v>508</v>
      </c>
      <c r="C513" s="4">
        <f t="shared" ca="1" si="34"/>
        <v>0.30803712672725414</v>
      </c>
      <c r="D513" s="5">
        <f t="shared" ca="1" si="34"/>
        <v>-0.38153345112309145</v>
      </c>
      <c r="E513">
        <f t="shared" ca="1" si="33"/>
        <v>1</v>
      </c>
      <c r="F513" s="4">
        <f t="shared" ca="1" si="31"/>
        <v>0.30803712672725414</v>
      </c>
      <c r="G513" s="5">
        <f t="shared" ca="1" si="32"/>
        <v>-0.38153345112309145</v>
      </c>
    </row>
    <row r="514" spans="2:7" x14ac:dyDescent="0.25">
      <c r="B514" s="22">
        <v>509</v>
      </c>
      <c r="C514" s="4">
        <f t="shared" ca="1" si="34"/>
        <v>0.52137002638642826</v>
      </c>
      <c r="D514" s="5">
        <f t="shared" ca="1" si="34"/>
        <v>-0.68280289666062988</v>
      </c>
      <c r="E514">
        <f t="shared" ca="1" si="33"/>
        <v>1</v>
      </c>
      <c r="F514" s="4">
        <f t="shared" ca="1" si="31"/>
        <v>0.52137002638642826</v>
      </c>
      <c r="G514" s="5">
        <f t="shared" ca="1" si="32"/>
        <v>-0.68280289666062988</v>
      </c>
    </row>
    <row r="515" spans="2:7" x14ac:dyDescent="0.25">
      <c r="B515" s="22">
        <v>510</v>
      </c>
      <c r="C515" s="4">
        <f t="shared" ca="1" si="34"/>
        <v>-0.86763416800743465</v>
      </c>
      <c r="D515" s="5">
        <f t="shared" ca="1" si="34"/>
        <v>3.4763087969865269E-2</v>
      </c>
      <c r="E515">
        <f t="shared" ca="1" si="33"/>
        <v>1</v>
      </c>
      <c r="F515" s="4">
        <f t="shared" ca="1" si="31"/>
        <v>-0.86763416800743465</v>
      </c>
      <c r="G515" s="5">
        <f t="shared" ca="1" si="32"/>
        <v>3.4763087969865269E-2</v>
      </c>
    </row>
    <row r="516" spans="2:7" x14ac:dyDescent="0.25">
      <c r="B516" s="22">
        <v>511</v>
      </c>
      <c r="C516" s="4">
        <f t="shared" ca="1" si="34"/>
        <v>-0.64385757826284773</v>
      </c>
      <c r="D516" s="5">
        <f t="shared" ca="1" si="34"/>
        <v>-0.46592338358914831</v>
      </c>
      <c r="E516">
        <f t="shared" ca="1" si="33"/>
        <v>1</v>
      </c>
      <c r="F516" s="4">
        <f t="shared" ca="1" si="31"/>
        <v>-0.64385757826284773</v>
      </c>
      <c r="G516" s="5">
        <f t="shared" ca="1" si="32"/>
        <v>-0.46592338358914831</v>
      </c>
    </row>
    <row r="517" spans="2:7" x14ac:dyDescent="0.25">
      <c r="B517" s="22">
        <v>512</v>
      </c>
      <c r="C517" s="4">
        <f t="shared" ca="1" si="34"/>
        <v>-0.8782427815415712</v>
      </c>
      <c r="D517" s="5">
        <f t="shared" ca="1" si="34"/>
        <v>-0.70242965952186798</v>
      </c>
      <c r="E517">
        <f t="shared" ca="1" si="33"/>
        <v>0</v>
      </c>
      <c r="F517" s="4">
        <f t="shared" ca="1" si="31"/>
        <v>0</v>
      </c>
      <c r="G517" s="5">
        <f t="shared" ca="1" si="32"/>
        <v>0</v>
      </c>
    </row>
    <row r="518" spans="2:7" x14ac:dyDescent="0.25">
      <c r="B518" s="22">
        <v>513</v>
      </c>
      <c r="C518" s="4">
        <f t="shared" ca="1" si="34"/>
        <v>0.29137087006516849</v>
      </c>
      <c r="D518" s="5">
        <f t="shared" ca="1" si="34"/>
        <v>-0.85805982782186496</v>
      </c>
      <c r="E518">
        <f t="shared" ca="1" si="33"/>
        <v>1</v>
      </c>
      <c r="F518" s="4">
        <f t="shared" ref="F518:F581" ca="1" si="35">IF((C518^2+D518^2)&lt;1, C518, 0)</f>
        <v>0.29137087006516849</v>
      </c>
      <c r="G518" s="5">
        <f t="shared" ref="G518:G581" ca="1" si="36">IF((C518^2+D518^2)&lt;1, D518, 0)</f>
        <v>-0.85805982782186496</v>
      </c>
    </row>
    <row r="519" spans="2:7" x14ac:dyDescent="0.25">
      <c r="B519" s="22">
        <v>514</v>
      </c>
      <c r="C519" s="4">
        <f t="shared" ca="1" si="34"/>
        <v>-0.83387134898100679</v>
      </c>
      <c r="D519" s="5">
        <f t="shared" ca="1" si="34"/>
        <v>-0.50231866678353221</v>
      </c>
      <c r="E519">
        <f t="shared" ref="E519:E582" ca="1" si="37">IF(C519^2+D519^2&lt;1, 1, 0)</f>
        <v>1</v>
      </c>
      <c r="F519" s="4">
        <f t="shared" ca="1" si="35"/>
        <v>-0.83387134898100679</v>
      </c>
      <c r="G519" s="5">
        <f t="shared" ca="1" si="36"/>
        <v>-0.50231866678353221</v>
      </c>
    </row>
    <row r="520" spans="2:7" x14ac:dyDescent="0.25">
      <c r="B520" s="22">
        <v>515</v>
      </c>
      <c r="C520" s="4">
        <f t="shared" ca="1" si="34"/>
        <v>0.56709915428819646</v>
      </c>
      <c r="D520" s="5">
        <f t="shared" ca="1" si="34"/>
        <v>0.21232371509023373</v>
      </c>
      <c r="E520">
        <f t="shared" ca="1" si="37"/>
        <v>1</v>
      </c>
      <c r="F520" s="4">
        <f t="shared" ca="1" si="35"/>
        <v>0.56709915428819646</v>
      </c>
      <c r="G520" s="5">
        <f t="shared" ca="1" si="36"/>
        <v>0.21232371509023373</v>
      </c>
    </row>
    <row r="521" spans="2:7" x14ac:dyDescent="0.25">
      <c r="B521" s="22">
        <v>516</v>
      </c>
      <c r="C521" s="4">
        <f t="shared" ca="1" si="34"/>
        <v>-0.87038334516549121</v>
      </c>
      <c r="D521" s="5">
        <f t="shared" ca="1" si="34"/>
        <v>0.30744801773197428</v>
      </c>
      <c r="E521">
        <f t="shared" ca="1" si="37"/>
        <v>1</v>
      </c>
      <c r="F521" s="4">
        <f t="shared" ca="1" si="35"/>
        <v>-0.87038334516549121</v>
      </c>
      <c r="G521" s="5">
        <f t="shared" ca="1" si="36"/>
        <v>0.30744801773197428</v>
      </c>
    </row>
    <row r="522" spans="2:7" x14ac:dyDescent="0.25">
      <c r="B522" s="22">
        <v>517</v>
      </c>
      <c r="C522" s="4">
        <f t="shared" ca="1" si="34"/>
        <v>-0.43052395419612965</v>
      </c>
      <c r="D522" s="5">
        <f t="shared" ca="1" si="34"/>
        <v>0.48217948959575541</v>
      </c>
      <c r="E522">
        <f t="shared" ca="1" si="37"/>
        <v>1</v>
      </c>
      <c r="F522" s="4">
        <f t="shared" ca="1" si="35"/>
        <v>-0.43052395419612965</v>
      </c>
      <c r="G522" s="5">
        <f t="shared" ca="1" si="36"/>
        <v>0.48217948959575541</v>
      </c>
    </row>
    <row r="523" spans="2:7" x14ac:dyDescent="0.25">
      <c r="B523" s="22">
        <v>518</v>
      </c>
      <c r="C523" s="4">
        <f t="shared" ca="1" si="34"/>
        <v>-0.42462590544326928</v>
      </c>
      <c r="D523" s="5">
        <f t="shared" ca="1" si="34"/>
        <v>0.22938850719188442</v>
      </c>
      <c r="E523">
        <f t="shared" ca="1" si="37"/>
        <v>1</v>
      </c>
      <c r="F523" s="4">
        <f t="shared" ca="1" si="35"/>
        <v>-0.42462590544326928</v>
      </c>
      <c r="G523" s="5">
        <f t="shared" ca="1" si="36"/>
        <v>0.22938850719188442</v>
      </c>
    </row>
    <row r="524" spans="2:7" x14ac:dyDescent="0.25">
      <c r="B524" s="22">
        <v>519</v>
      </c>
      <c r="C524" s="4">
        <f t="shared" ca="1" si="34"/>
        <v>8.7393143243405635E-2</v>
      </c>
      <c r="D524" s="5">
        <f t="shared" ca="1" si="34"/>
        <v>-0.47767260469635886</v>
      </c>
      <c r="E524">
        <f t="shared" ca="1" si="37"/>
        <v>1</v>
      </c>
      <c r="F524" s="4">
        <f t="shared" ca="1" si="35"/>
        <v>8.7393143243405635E-2</v>
      </c>
      <c r="G524" s="5">
        <f t="shared" ca="1" si="36"/>
        <v>-0.47767260469635886</v>
      </c>
    </row>
    <row r="525" spans="2:7" x14ac:dyDescent="0.25">
      <c r="B525" s="22">
        <v>520</v>
      </c>
      <c r="C525" s="4">
        <f t="shared" ca="1" si="34"/>
        <v>0.63962441226823508</v>
      </c>
      <c r="D525" s="5">
        <f t="shared" ca="1" si="34"/>
        <v>-0.2616669964393441</v>
      </c>
      <c r="E525">
        <f t="shared" ca="1" si="37"/>
        <v>1</v>
      </c>
      <c r="F525" s="4">
        <f t="shared" ca="1" si="35"/>
        <v>0.63962441226823508</v>
      </c>
      <c r="G525" s="5">
        <f t="shared" ca="1" si="36"/>
        <v>-0.2616669964393441</v>
      </c>
    </row>
    <row r="526" spans="2:7" x14ac:dyDescent="0.25">
      <c r="B526" s="22">
        <v>521</v>
      </c>
      <c r="C526" s="4">
        <f t="shared" ca="1" si="34"/>
        <v>-0.79561337075072869</v>
      </c>
      <c r="D526" s="5">
        <f t="shared" ca="1" si="34"/>
        <v>-0.84745298990373774</v>
      </c>
      <c r="E526">
        <f t="shared" ca="1" si="37"/>
        <v>0</v>
      </c>
      <c r="F526" s="4">
        <f t="shared" ca="1" si="35"/>
        <v>0</v>
      </c>
      <c r="G526" s="5">
        <f t="shared" ca="1" si="36"/>
        <v>0</v>
      </c>
    </row>
    <row r="527" spans="2:7" x14ac:dyDescent="0.25">
      <c r="B527" s="22">
        <v>522</v>
      </c>
      <c r="C527" s="4">
        <f t="shared" ca="1" si="34"/>
        <v>-0.32755584544220873</v>
      </c>
      <c r="D527" s="5">
        <f t="shared" ca="1" si="34"/>
        <v>-0.73896921896849332</v>
      </c>
      <c r="E527">
        <f t="shared" ca="1" si="37"/>
        <v>1</v>
      </c>
      <c r="F527" s="4">
        <f t="shared" ca="1" si="35"/>
        <v>-0.32755584544220873</v>
      </c>
      <c r="G527" s="5">
        <f t="shared" ca="1" si="36"/>
        <v>-0.73896921896849332</v>
      </c>
    </row>
    <row r="528" spans="2:7" x14ac:dyDescent="0.25">
      <c r="B528" s="22">
        <v>523</v>
      </c>
      <c r="C528" s="4">
        <f t="shared" ca="1" si="34"/>
        <v>0.62625225089503278</v>
      </c>
      <c r="D528" s="5">
        <f t="shared" ca="1" si="34"/>
        <v>-0.10548399355317351</v>
      </c>
      <c r="E528">
        <f t="shared" ca="1" si="37"/>
        <v>1</v>
      </c>
      <c r="F528" s="4">
        <f t="shared" ca="1" si="35"/>
        <v>0.62625225089503278</v>
      </c>
      <c r="G528" s="5">
        <f t="shared" ca="1" si="36"/>
        <v>-0.10548399355317351</v>
      </c>
    </row>
    <row r="529" spans="2:7" x14ac:dyDescent="0.25">
      <c r="B529" s="22">
        <v>524</v>
      </c>
      <c r="C529" s="4">
        <f t="shared" ca="1" si="34"/>
        <v>-1.3622044097615582E-2</v>
      </c>
      <c r="D529" s="5">
        <f t="shared" ca="1" si="34"/>
        <v>-0.70711677303207576</v>
      </c>
      <c r="E529">
        <f t="shared" ca="1" si="37"/>
        <v>1</v>
      </c>
      <c r="F529" s="4">
        <f t="shared" ca="1" si="35"/>
        <v>-1.3622044097615582E-2</v>
      </c>
      <c r="G529" s="5">
        <f t="shared" ca="1" si="36"/>
        <v>-0.70711677303207576</v>
      </c>
    </row>
    <row r="530" spans="2:7" x14ac:dyDescent="0.25">
      <c r="B530" s="22">
        <v>525</v>
      </c>
      <c r="C530" s="4">
        <f t="shared" ca="1" si="34"/>
        <v>0.36439573703905492</v>
      </c>
      <c r="D530" s="5">
        <f t="shared" ca="1" si="34"/>
        <v>0.26554510670338138</v>
      </c>
      <c r="E530">
        <f t="shared" ca="1" si="37"/>
        <v>1</v>
      </c>
      <c r="F530" s="4">
        <f t="shared" ca="1" si="35"/>
        <v>0.36439573703905492</v>
      </c>
      <c r="G530" s="5">
        <f t="shared" ca="1" si="36"/>
        <v>0.26554510670338138</v>
      </c>
    </row>
    <row r="531" spans="2:7" x14ac:dyDescent="0.25">
      <c r="B531" s="22">
        <v>526</v>
      </c>
      <c r="C531" s="4">
        <f t="shared" ca="1" si="34"/>
        <v>0.81778465693709723</v>
      </c>
      <c r="D531" s="5">
        <f t="shared" ca="1" si="34"/>
        <v>0.7925022910320263</v>
      </c>
      <c r="E531">
        <f t="shared" ca="1" si="37"/>
        <v>0</v>
      </c>
      <c r="F531" s="4">
        <f t="shared" ca="1" si="35"/>
        <v>0</v>
      </c>
      <c r="G531" s="5">
        <f t="shared" ca="1" si="36"/>
        <v>0</v>
      </c>
    </row>
    <row r="532" spans="2:7" x14ac:dyDescent="0.25">
      <c r="B532" s="22">
        <v>527</v>
      </c>
      <c r="C532" s="4">
        <f t="shared" ca="1" si="34"/>
        <v>0.98677994351589771</v>
      </c>
      <c r="D532" s="5">
        <f t="shared" ca="1" si="34"/>
        <v>0.88108363941030632</v>
      </c>
      <c r="E532">
        <f t="shared" ca="1" si="37"/>
        <v>0</v>
      </c>
      <c r="F532" s="4">
        <f t="shared" ca="1" si="35"/>
        <v>0</v>
      </c>
      <c r="G532" s="5">
        <f t="shared" ca="1" si="36"/>
        <v>0</v>
      </c>
    </row>
    <row r="533" spans="2:7" x14ac:dyDescent="0.25">
      <c r="B533" s="22">
        <v>528</v>
      </c>
      <c r="C533" s="4">
        <f t="shared" ca="1" si="34"/>
        <v>-0.73543918717084544</v>
      </c>
      <c r="D533" s="5">
        <f t="shared" ca="1" si="34"/>
        <v>-0.95972670923172987</v>
      </c>
      <c r="E533">
        <f t="shared" ca="1" si="37"/>
        <v>0</v>
      </c>
      <c r="F533" s="4">
        <f t="shared" ca="1" si="35"/>
        <v>0</v>
      </c>
      <c r="G533" s="5">
        <f t="shared" ca="1" si="36"/>
        <v>0</v>
      </c>
    </row>
    <row r="534" spans="2:7" x14ac:dyDescent="0.25">
      <c r="B534" s="22">
        <v>529</v>
      </c>
      <c r="C534" s="4">
        <f t="shared" ca="1" si="34"/>
        <v>0.32179724510906649</v>
      </c>
      <c r="D534" s="5">
        <f t="shared" ca="1" si="34"/>
        <v>1.6802644847875303E-2</v>
      </c>
      <c r="E534">
        <f t="shared" ca="1" si="37"/>
        <v>1</v>
      </c>
      <c r="F534" s="4">
        <f t="shared" ca="1" si="35"/>
        <v>0.32179724510906649</v>
      </c>
      <c r="G534" s="5">
        <f t="shared" ca="1" si="36"/>
        <v>1.6802644847875303E-2</v>
      </c>
    </row>
    <row r="535" spans="2:7" x14ac:dyDescent="0.25">
      <c r="B535" s="22">
        <v>530</v>
      </c>
      <c r="C535" s="4">
        <f t="shared" ref="C535:D598" ca="1" si="38">1-2*RAND()</f>
        <v>0.5951923710932332</v>
      </c>
      <c r="D535" s="5">
        <f t="shared" ca="1" si="38"/>
        <v>0.32957210248075719</v>
      </c>
      <c r="E535">
        <f t="shared" ca="1" si="37"/>
        <v>1</v>
      </c>
      <c r="F535" s="4">
        <f t="shared" ca="1" si="35"/>
        <v>0.5951923710932332</v>
      </c>
      <c r="G535" s="5">
        <f t="shared" ca="1" si="36"/>
        <v>0.32957210248075719</v>
      </c>
    </row>
    <row r="536" spans="2:7" x14ac:dyDescent="0.25">
      <c r="B536" s="22">
        <v>531</v>
      </c>
      <c r="C536" s="4">
        <f t="shared" ca="1" si="38"/>
        <v>-4.3325071925983893E-2</v>
      </c>
      <c r="D536" s="5">
        <f t="shared" ca="1" si="38"/>
        <v>-0.99637469666393841</v>
      </c>
      <c r="E536">
        <f t="shared" ca="1" si="37"/>
        <v>1</v>
      </c>
      <c r="F536" s="4">
        <f t="shared" ca="1" si="35"/>
        <v>-4.3325071925983893E-2</v>
      </c>
      <c r="G536" s="5">
        <f t="shared" ca="1" si="36"/>
        <v>-0.99637469666393841</v>
      </c>
    </row>
    <row r="537" spans="2:7" x14ac:dyDescent="0.25">
      <c r="B537" s="22">
        <v>532</v>
      </c>
      <c r="C537" s="4">
        <f t="shared" ca="1" si="38"/>
        <v>0.15310968949384596</v>
      </c>
      <c r="D537" s="5">
        <f t="shared" ca="1" si="38"/>
        <v>-0.88126179741072153</v>
      </c>
      <c r="E537">
        <f t="shared" ca="1" si="37"/>
        <v>1</v>
      </c>
      <c r="F537" s="4">
        <f t="shared" ca="1" si="35"/>
        <v>0.15310968949384596</v>
      </c>
      <c r="G537" s="5">
        <f t="shared" ca="1" si="36"/>
        <v>-0.88126179741072153</v>
      </c>
    </row>
    <row r="538" spans="2:7" x14ac:dyDescent="0.25">
      <c r="B538" s="22">
        <v>533</v>
      </c>
      <c r="C538" s="4">
        <f t="shared" ca="1" si="38"/>
        <v>-0.89929668227284543</v>
      </c>
      <c r="D538" s="5">
        <f t="shared" ca="1" si="38"/>
        <v>0.89637356929730472</v>
      </c>
      <c r="E538">
        <f t="shared" ca="1" si="37"/>
        <v>0</v>
      </c>
      <c r="F538" s="4">
        <f t="shared" ca="1" si="35"/>
        <v>0</v>
      </c>
      <c r="G538" s="5">
        <f t="shared" ca="1" si="36"/>
        <v>0</v>
      </c>
    </row>
    <row r="539" spans="2:7" x14ac:dyDescent="0.25">
      <c r="B539" s="22">
        <v>534</v>
      </c>
      <c r="C539" s="4">
        <f t="shared" ca="1" si="38"/>
        <v>-0.62478779750589242</v>
      </c>
      <c r="D539" s="5">
        <f t="shared" ca="1" si="38"/>
        <v>0.97066728615039444</v>
      </c>
      <c r="E539">
        <f t="shared" ca="1" si="37"/>
        <v>0</v>
      </c>
      <c r="F539" s="4">
        <f t="shared" ca="1" si="35"/>
        <v>0</v>
      </c>
      <c r="G539" s="5">
        <f t="shared" ca="1" si="36"/>
        <v>0</v>
      </c>
    </row>
    <row r="540" spans="2:7" x14ac:dyDescent="0.25">
      <c r="B540" s="22">
        <v>535</v>
      </c>
      <c r="C540" s="4">
        <f t="shared" ca="1" si="38"/>
        <v>-0.22799752714965571</v>
      </c>
      <c r="D540" s="5">
        <f t="shared" ca="1" si="38"/>
        <v>-5.7222572140562145E-2</v>
      </c>
      <c r="E540">
        <f t="shared" ca="1" si="37"/>
        <v>1</v>
      </c>
      <c r="F540" s="4">
        <f t="shared" ca="1" si="35"/>
        <v>-0.22799752714965571</v>
      </c>
      <c r="G540" s="5">
        <f t="shared" ca="1" si="36"/>
        <v>-5.7222572140562145E-2</v>
      </c>
    </row>
    <row r="541" spans="2:7" x14ac:dyDescent="0.25">
      <c r="B541" s="22">
        <v>536</v>
      </c>
      <c r="C541" s="4">
        <f t="shared" ca="1" si="38"/>
        <v>-0.50073425085061563</v>
      </c>
      <c r="D541" s="5">
        <f t="shared" ca="1" si="38"/>
        <v>-0.9977784575551043</v>
      </c>
      <c r="E541">
        <f t="shared" ca="1" si="37"/>
        <v>0</v>
      </c>
      <c r="F541" s="4">
        <f t="shared" ca="1" si="35"/>
        <v>0</v>
      </c>
      <c r="G541" s="5">
        <f t="shared" ca="1" si="36"/>
        <v>0</v>
      </c>
    </row>
    <row r="542" spans="2:7" x14ac:dyDescent="0.25">
      <c r="B542" s="22">
        <v>537</v>
      </c>
      <c r="C542" s="4">
        <f t="shared" ca="1" si="38"/>
        <v>0.50850475573608889</v>
      </c>
      <c r="D542" s="5">
        <f t="shared" ca="1" si="38"/>
        <v>-0.53134718907772172</v>
      </c>
      <c r="E542">
        <f t="shared" ca="1" si="37"/>
        <v>1</v>
      </c>
      <c r="F542" s="4">
        <f t="shared" ca="1" si="35"/>
        <v>0.50850475573608889</v>
      </c>
      <c r="G542" s="5">
        <f t="shared" ca="1" si="36"/>
        <v>-0.53134718907772172</v>
      </c>
    </row>
    <row r="543" spans="2:7" x14ac:dyDescent="0.25">
      <c r="B543" s="22">
        <v>538</v>
      </c>
      <c r="C543" s="4">
        <f t="shared" ca="1" si="38"/>
        <v>-0.24590551596369781</v>
      </c>
      <c r="D543" s="5">
        <f t="shared" ca="1" si="38"/>
        <v>0.66128067965052906</v>
      </c>
      <c r="E543">
        <f t="shared" ca="1" si="37"/>
        <v>1</v>
      </c>
      <c r="F543" s="4">
        <f t="shared" ca="1" si="35"/>
        <v>-0.24590551596369781</v>
      </c>
      <c r="G543" s="5">
        <f t="shared" ca="1" si="36"/>
        <v>0.66128067965052906</v>
      </c>
    </row>
    <row r="544" spans="2:7" x14ac:dyDescent="0.25">
      <c r="B544" s="22">
        <v>539</v>
      </c>
      <c r="C544" s="4">
        <f t="shared" ca="1" si="38"/>
        <v>0.99432713217204305</v>
      </c>
      <c r="D544" s="5">
        <f t="shared" ca="1" si="38"/>
        <v>0.48810114262813897</v>
      </c>
      <c r="E544">
        <f t="shared" ca="1" si="37"/>
        <v>0</v>
      </c>
      <c r="F544" s="4">
        <f t="shared" ca="1" si="35"/>
        <v>0</v>
      </c>
      <c r="G544" s="5">
        <f t="shared" ca="1" si="36"/>
        <v>0</v>
      </c>
    </row>
    <row r="545" spans="2:7" x14ac:dyDescent="0.25">
      <c r="B545" s="22">
        <v>540</v>
      </c>
      <c r="C545" s="4">
        <f t="shared" ca="1" si="38"/>
        <v>0.85248424041744553</v>
      </c>
      <c r="D545" s="5">
        <f t="shared" ca="1" si="38"/>
        <v>-0.38608809219332652</v>
      </c>
      <c r="E545">
        <f t="shared" ca="1" si="37"/>
        <v>1</v>
      </c>
      <c r="F545" s="4">
        <f t="shared" ca="1" si="35"/>
        <v>0.85248424041744553</v>
      </c>
      <c r="G545" s="5">
        <f t="shared" ca="1" si="36"/>
        <v>-0.38608809219332652</v>
      </c>
    </row>
    <row r="546" spans="2:7" x14ac:dyDescent="0.25">
      <c r="B546" s="22">
        <v>541</v>
      </c>
      <c r="C546" s="4">
        <f t="shared" ca="1" si="38"/>
        <v>6.7570064136254882E-2</v>
      </c>
      <c r="D546" s="5">
        <f t="shared" ca="1" si="38"/>
        <v>-0.19980550117713314</v>
      </c>
      <c r="E546">
        <f t="shared" ca="1" si="37"/>
        <v>1</v>
      </c>
      <c r="F546" s="4">
        <f t="shared" ca="1" si="35"/>
        <v>6.7570064136254882E-2</v>
      </c>
      <c r="G546" s="5">
        <f t="shared" ca="1" si="36"/>
        <v>-0.19980550117713314</v>
      </c>
    </row>
    <row r="547" spans="2:7" x14ac:dyDescent="0.25">
      <c r="B547" s="22">
        <v>542</v>
      </c>
      <c r="C547" s="4">
        <f t="shared" ca="1" si="38"/>
        <v>0.15066809944652371</v>
      </c>
      <c r="D547" s="5">
        <f t="shared" ca="1" si="38"/>
        <v>-0.4498813618646722</v>
      </c>
      <c r="E547">
        <f t="shared" ca="1" si="37"/>
        <v>1</v>
      </c>
      <c r="F547" s="4">
        <f t="shared" ca="1" si="35"/>
        <v>0.15066809944652371</v>
      </c>
      <c r="G547" s="5">
        <f t="shared" ca="1" si="36"/>
        <v>-0.4498813618646722</v>
      </c>
    </row>
    <row r="548" spans="2:7" x14ac:dyDescent="0.25">
      <c r="B548" s="22">
        <v>543</v>
      </c>
      <c r="C548" s="4">
        <f t="shared" ca="1" si="38"/>
        <v>0.77840392266598246</v>
      </c>
      <c r="D548" s="5">
        <f t="shared" ca="1" si="38"/>
        <v>-0.13733258447528884</v>
      </c>
      <c r="E548">
        <f t="shared" ca="1" si="37"/>
        <v>1</v>
      </c>
      <c r="F548" s="4">
        <f t="shared" ca="1" si="35"/>
        <v>0.77840392266598246</v>
      </c>
      <c r="G548" s="5">
        <f t="shared" ca="1" si="36"/>
        <v>-0.13733258447528884</v>
      </c>
    </row>
    <row r="549" spans="2:7" x14ac:dyDescent="0.25">
      <c r="B549" s="22">
        <v>544</v>
      </c>
      <c r="C549" s="4">
        <f t="shared" ca="1" si="38"/>
        <v>-0.4798825955072259</v>
      </c>
      <c r="D549" s="5">
        <f t="shared" ca="1" si="38"/>
        <v>0.4123225065636551</v>
      </c>
      <c r="E549">
        <f t="shared" ca="1" si="37"/>
        <v>1</v>
      </c>
      <c r="F549" s="4">
        <f t="shared" ca="1" si="35"/>
        <v>-0.4798825955072259</v>
      </c>
      <c r="G549" s="5">
        <f t="shared" ca="1" si="36"/>
        <v>0.4123225065636551</v>
      </c>
    </row>
    <row r="550" spans="2:7" x14ac:dyDescent="0.25">
      <c r="B550" s="22">
        <v>545</v>
      </c>
      <c r="C550" s="4">
        <f t="shared" ca="1" si="38"/>
        <v>0.77528583722224087</v>
      </c>
      <c r="D550" s="5">
        <f t="shared" ca="1" si="38"/>
        <v>-0.82207989867445863</v>
      </c>
      <c r="E550">
        <f t="shared" ca="1" si="37"/>
        <v>0</v>
      </c>
      <c r="F550" s="4">
        <f t="shared" ca="1" si="35"/>
        <v>0</v>
      </c>
      <c r="G550" s="5">
        <f t="shared" ca="1" si="36"/>
        <v>0</v>
      </c>
    </row>
    <row r="551" spans="2:7" x14ac:dyDescent="0.25">
      <c r="B551" s="22">
        <v>546</v>
      </c>
      <c r="C551" s="4">
        <f t="shared" ca="1" si="38"/>
        <v>-0.32181636219102061</v>
      </c>
      <c r="D551" s="5">
        <f t="shared" ca="1" si="38"/>
        <v>-0.13879508104435767</v>
      </c>
      <c r="E551">
        <f t="shared" ca="1" si="37"/>
        <v>1</v>
      </c>
      <c r="F551" s="4">
        <f t="shared" ca="1" si="35"/>
        <v>-0.32181636219102061</v>
      </c>
      <c r="G551" s="5">
        <f t="shared" ca="1" si="36"/>
        <v>-0.13879508104435767</v>
      </c>
    </row>
    <row r="552" spans="2:7" x14ac:dyDescent="0.25">
      <c r="B552" s="22">
        <v>547</v>
      </c>
      <c r="C552" s="4">
        <f t="shared" ca="1" si="38"/>
        <v>-0.54933843487147671</v>
      </c>
      <c r="D552" s="5">
        <f t="shared" ca="1" si="38"/>
        <v>0.22000969568474571</v>
      </c>
      <c r="E552">
        <f t="shared" ca="1" si="37"/>
        <v>1</v>
      </c>
      <c r="F552" s="4">
        <f t="shared" ca="1" si="35"/>
        <v>-0.54933843487147671</v>
      </c>
      <c r="G552" s="5">
        <f t="shared" ca="1" si="36"/>
        <v>0.22000969568474571</v>
      </c>
    </row>
    <row r="553" spans="2:7" x14ac:dyDescent="0.25">
      <c r="B553" s="22">
        <v>548</v>
      </c>
      <c r="C553" s="4">
        <f t="shared" ca="1" si="38"/>
        <v>0.16114079427784511</v>
      </c>
      <c r="D553" s="5">
        <f t="shared" ca="1" si="38"/>
        <v>-0.65690047401515672</v>
      </c>
      <c r="E553">
        <f t="shared" ca="1" si="37"/>
        <v>1</v>
      </c>
      <c r="F553" s="4">
        <f t="shared" ca="1" si="35"/>
        <v>0.16114079427784511</v>
      </c>
      <c r="G553" s="5">
        <f t="shared" ca="1" si="36"/>
        <v>-0.65690047401515672</v>
      </c>
    </row>
    <row r="554" spans="2:7" x14ac:dyDescent="0.25">
      <c r="B554" s="22">
        <v>549</v>
      </c>
      <c r="C554" s="4">
        <f t="shared" ca="1" si="38"/>
        <v>-0.27415202590413945</v>
      </c>
      <c r="D554" s="5">
        <f t="shared" ca="1" si="38"/>
        <v>0.49187672271223759</v>
      </c>
      <c r="E554">
        <f t="shared" ca="1" si="37"/>
        <v>1</v>
      </c>
      <c r="F554" s="4">
        <f t="shared" ca="1" si="35"/>
        <v>-0.27415202590413945</v>
      </c>
      <c r="G554" s="5">
        <f t="shared" ca="1" si="36"/>
        <v>0.49187672271223759</v>
      </c>
    </row>
    <row r="555" spans="2:7" x14ac:dyDescent="0.25">
      <c r="B555" s="22">
        <v>550</v>
      </c>
      <c r="C555" s="4">
        <f t="shared" ca="1" si="38"/>
        <v>0.3878340187882392</v>
      </c>
      <c r="D555" s="5">
        <f t="shared" ca="1" si="38"/>
        <v>-0.96858837912478601</v>
      </c>
      <c r="E555">
        <f t="shared" ca="1" si="37"/>
        <v>0</v>
      </c>
      <c r="F555" s="4">
        <f t="shared" ca="1" si="35"/>
        <v>0</v>
      </c>
      <c r="G555" s="5">
        <f t="shared" ca="1" si="36"/>
        <v>0</v>
      </c>
    </row>
    <row r="556" spans="2:7" x14ac:dyDescent="0.25">
      <c r="B556" s="22">
        <v>551</v>
      </c>
      <c r="C556" s="4">
        <f t="shared" ca="1" si="38"/>
        <v>0.20503360384048452</v>
      </c>
      <c r="D556" s="5">
        <f t="shared" ca="1" si="38"/>
        <v>0.73374722907946865</v>
      </c>
      <c r="E556">
        <f t="shared" ca="1" si="37"/>
        <v>1</v>
      </c>
      <c r="F556" s="4">
        <f t="shared" ca="1" si="35"/>
        <v>0.20503360384048452</v>
      </c>
      <c r="G556" s="5">
        <f t="shared" ca="1" si="36"/>
        <v>0.73374722907946865</v>
      </c>
    </row>
    <row r="557" spans="2:7" x14ac:dyDescent="0.25">
      <c r="B557" s="22">
        <v>552</v>
      </c>
      <c r="C557" s="4">
        <f t="shared" ca="1" si="38"/>
        <v>-0.87528289209389398</v>
      </c>
      <c r="D557" s="5">
        <f t="shared" ca="1" si="38"/>
        <v>-0.95035470750613649</v>
      </c>
      <c r="E557">
        <f t="shared" ca="1" si="37"/>
        <v>0</v>
      </c>
      <c r="F557" s="4">
        <f t="shared" ca="1" si="35"/>
        <v>0</v>
      </c>
      <c r="G557" s="5">
        <f t="shared" ca="1" si="36"/>
        <v>0</v>
      </c>
    </row>
    <row r="558" spans="2:7" x14ac:dyDescent="0.25">
      <c r="B558" s="22">
        <v>553</v>
      </c>
      <c r="C558" s="4">
        <f t="shared" ca="1" si="38"/>
        <v>-0.36472069009674901</v>
      </c>
      <c r="D558" s="5">
        <f t="shared" ca="1" si="38"/>
        <v>-0.51180709951308834</v>
      </c>
      <c r="E558">
        <f t="shared" ca="1" si="37"/>
        <v>1</v>
      </c>
      <c r="F558" s="4">
        <f t="shared" ca="1" si="35"/>
        <v>-0.36472069009674901</v>
      </c>
      <c r="G558" s="5">
        <f t="shared" ca="1" si="36"/>
        <v>-0.51180709951308834</v>
      </c>
    </row>
    <row r="559" spans="2:7" x14ac:dyDescent="0.25">
      <c r="B559" s="22">
        <v>554</v>
      </c>
      <c r="C559" s="4">
        <f t="shared" ca="1" si="38"/>
        <v>0.36001472283481584</v>
      </c>
      <c r="D559" s="5">
        <f t="shared" ca="1" si="38"/>
        <v>-0.85687300948416589</v>
      </c>
      <c r="E559">
        <f t="shared" ca="1" si="37"/>
        <v>1</v>
      </c>
      <c r="F559" s="4">
        <f t="shared" ca="1" si="35"/>
        <v>0.36001472283481584</v>
      </c>
      <c r="G559" s="5">
        <f t="shared" ca="1" si="36"/>
        <v>-0.85687300948416589</v>
      </c>
    </row>
    <row r="560" spans="2:7" x14ac:dyDescent="0.25">
      <c r="B560" s="22">
        <v>555</v>
      </c>
      <c r="C560" s="4">
        <f t="shared" ca="1" si="38"/>
        <v>0.51413460916235465</v>
      </c>
      <c r="D560" s="5">
        <f t="shared" ca="1" si="38"/>
        <v>-0.91696760222298135</v>
      </c>
      <c r="E560">
        <f t="shared" ca="1" si="37"/>
        <v>0</v>
      </c>
      <c r="F560" s="4">
        <f t="shared" ca="1" si="35"/>
        <v>0</v>
      </c>
      <c r="G560" s="5">
        <f t="shared" ca="1" si="36"/>
        <v>0</v>
      </c>
    </row>
    <row r="561" spans="2:7" x14ac:dyDescent="0.25">
      <c r="B561" s="22">
        <v>556</v>
      </c>
      <c r="C561" s="4">
        <f t="shared" ca="1" si="38"/>
        <v>-0.82412674464263835</v>
      </c>
      <c r="D561" s="5">
        <f t="shared" ca="1" si="38"/>
        <v>-0.6272455497079219</v>
      </c>
      <c r="E561">
        <f t="shared" ca="1" si="37"/>
        <v>0</v>
      </c>
      <c r="F561" s="4">
        <f t="shared" ca="1" si="35"/>
        <v>0</v>
      </c>
      <c r="G561" s="5">
        <f t="shared" ca="1" si="36"/>
        <v>0</v>
      </c>
    </row>
    <row r="562" spans="2:7" x14ac:dyDescent="0.25">
      <c r="B562" s="22">
        <v>557</v>
      </c>
      <c r="C562" s="4">
        <f t="shared" ca="1" si="38"/>
        <v>-0.44648554856189415</v>
      </c>
      <c r="D562" s="5">
        <f t="shared" ca="1" si="38"/>
        <v>-0.73042968434368705</v>
      </c>
      <c r="E562">
        <f t="shared" ca="1" si="37"/>
        <v>1</v>
      </c>
      <c r="F562" s="4">
        <f t="shared" ca="1" si="35"/>
        <v>-0.44648554856189415</v>
      </c>
      <c r="G562" s="5">
        <f t="shared" ca="1" si="36"/>
        <v>-0.73042968434368705</v>
      </c>
    </row>
    <row r="563" spans="2:7" x14ac:dyDescent="0.25">
      <c r="B563" s="22">
        <v>558</v>
      </c>
      <c r="C563" s="4">
        <f t="shared" ca="1" si="38"/>
        <v>0.32972528688474112</v>
      </c>
      <c r="D563" s="5">
        <f t="shared" ca="1" si="38"/>
        <v>0.47743645283509251</v>
      </c>
      <c r="E563">
        <f t="shared" ca="1" si="37"/>
        <v>1</v>
      </c>
      <c r="F563" s="4">
        <f t="shared" ca="1" si="35"/>
        <v>0.32972528688474112</v>
      </c>
      <c r="G563" s="5">
        <f t="shared" ca="1" si="36"/>
        <v>0.47743645283509251</v>
      </c>
    </row>
    <row r="564" spans="2:7" x14ac:dyDescent="0.25">
      <c r="B564" s="22">
        <v>559</v>
      </c>
      <c r="C564" s="4">
        <f t="shared" ca="1" si="38"/>
        <v>0.50855822024731712</v>
      </c>
      <c r="D564" s="5">
        <f t="shared" ca="1" si="38"/>
        <v>0.5296597355808732</v>
      </c>
      <c r="E564">
        <f t="shared" ca="1" si="37"/>
        <v>1</v>
      </c>
      <c r="F564" s="4">
        <f t="shared" ca="1" si="35"/>
        <v>0.50855822024731712</v>
      </c>
      <c r="G564" s="5">
        <f t="shared" ca="1" si="36"/>
        <v>0.5296597355808732</v>
      </c>
    </row>
    <row r="565" spans="2:7" x14ac:dyDescent="0.25">
      <c r="B565" s="22">
        <v>560</v>
      </c>
      <c r="C565" s="4">
        <f t="shared" ca="1" si="38"/>
        <v>-0.9790141015060676</v>
      </c>
      <c r="D565" s="5">
        <f t="shared" ca="1" si="38"/>
        <v>-0.72358231808117268</v>
      </c>
      <c r="E565">
        <f t="shared" ca="1" si="37"/>
        <v>0</v>
      </c>
      <c r="F565" s="4">
        <f t="shared" ca="1" si="35"/>
        <v>0</v>
      </c>
      <c r="G565" s="5">
        <f t="shared" ca="1" si="36"/>
        <v>0</v>
      </c>
    </row>
    <row r="566" spans="2:7" x14ac:dyDescent="0.25">
      <c r="B566" s="22">
        <v>561</v>
      </c>
      <c r="C566" s="4">
        <f t="shared" ca="1" si="38"/>
        <v>0.19657433157148096</v>
      </c>
      <c r="D566" s="5">
        <f t="shared" ca="1" si="38"/>
        <v>0.79331052841718019</v>
      </c>
      <c r="E566">
        <f t="shared" ca="1" si="37"/>
        <v>1</v>
      </c>
      <c r="F566" s="4">
        <f t="shared" ca="1" si="35"/>
        <v>0.19657433157148096</v>
      </c>
      <c r="G566" s="5">
        <f t="shared" ca="1" si="36"/>
        <v>0.79331052841718019</v>
      </c>
    </row>
    <row r="567" spans="2:7" x14ac:dyDescent="0.25">
      <c r="B567" s="22">
        <v>562</v>
      </c>
      <c r="C567" s="4">
        <f t="shared" ca="1" si="38"/>
        <v>0.23830879790962012</v>
      </c>
      <c r="D567" s="5">
        <f t="shared" ca="1" si="38"/>
        <v>-0.37436584633009051</v>
      </c>
      <c r="E567">
        <f t="shared" ca="1" si="37"/>
        <v>1</v>
      </c>
      <c r="F567" s="4">
        <f t="shared" ca="1" si="35"/>
        <v>0.23830879790962012</v>
      </c>
      <c r="G567" s="5">
        <f t="shared" ca="1" si="36"/>
        <v>-0.37436584633009051</v>
      </c>
    </row>
    <row r="568" spans="2:7" x14ac:dyDescent="0.25">
      <c r="B568" s="22">
        <v>563</v>
      </c>
      <c r="C568" s="4">
        <f t="shared" ca="1" si="38"/>
        <v>-0.66875042968871079</v>
      </c>
      <c r="D568" s="5">
        <f t="shared" ca="1" si="38"/>
        <v>6.13581658754212E-2</v>
      </c>
      <c r="E568">
        <f t="shared" ca="1" si="37"/>
        <v>1</v>
      </c>
      <c r="F568" s="4">
        <f t="shared" ca="1" si="35"/>
        <v>-0.66875042968871079</v>
      </c>
      <c r="G568" s="5">
        <f t="shared" ca="1" si="36"/>
        <v>6.13581658754212E-2</v>
      </c>
    </row>
    <row r="569" spans="2:7" x14ac:dyDescent="0.25">
      <c r="B569" s="22">
        <v>564</v>
      </c>
      <c r="C569" s="4">
        <f t="shared" ca="1" si="38"/>
        <v>0.25083300620553195</v>
      </c>
      <c r="D569" s="5">
        <f t="shared" ca="1" si="38"/>
        <v>-0.30822439799604839</v>
      </c>
      <c r="E569">
        <f t="shared" ca="1" si="37"/>
        <v>1</v>
      </c>
      <c r="F569" s="4">
        <f t="shared" ca="1" si="35"/>
        <v>0.25083300620553195</v>
      </c>
      <c r="G569" s="5">
        <f t="shared" ca="1" si="36"/>
        <v>-0.30822439799604839</v>
      </c>
    </row>
    <row r="570" spans="2:7" x14ac:dyDescent="0.25">
      <c r="B570" s="22">
        <v>565</v>
      </c>
      <c r="C570" s="4">
        <f t="shared" ca="1" si="38"/>
        <v>0.39248835482727817</v>
      </c>
      <c r="D570" s="5">
        <f t="shared" ca="1" si="38"/>
        <v>0.9235405835103494</v>
      </c>
      <c r="E570">
        <f t="shared" ca="1" si="37"/>
        <v>0</v>
      </c>
      <c r="F570" s="4">
        <f t="shared" ca="1" si="35"/>
        <v>0</v>
      </c>
      <c r="G570" s="5">
        <f t="shared" ca="1" si="36"/>
        <v>0</v>
      </c>
    </row>
    <row r="571" spans="2:7" x14ac:dyDescent="0.25">
      <c r="B571" s="22">
        <v>566</v>
      </c>
      <c r="C571" s="4">
        <f t="shared" ca="1" si="38"/>
        <v>0.40768648075699776</v>
      </c>
      <c r="D571" s="5">
        <f t="shared" ca="1" si="38"/>
        <v>-0.19694418374209954</v>
      </c>
      <c r="E571">
        <f t="shared" ca="1" si="37"/>
        <v>1</v>
      </c>
      <c r="F571" s="4">
        <f t="shared" ca="1" si="35"/>
        <v>0.40768648075699776</v>
      </c>
      <c r="G571" s="5">
        <f t="shared" ca="1" si="36"/>
        <v>-0.19694418374209954</v>
      </c>
    </row>
    <row r="572" spans="2:7" x14ac:dyDescent="0.25">
      <c r="B572" s="22">
        <v>567</v>
      </c>
      <c r="C572" s="4">
        <f t="shared" ca="1" si="38"/>
        <v>-0.96530571045963098</v>
      </c>
      <c r="D572" s="5">
        <f t="shared" ca="1" si="38"/>
        <v>-0.55692671413986039</v>
      </c>
      <c r="E572">
        <f t="shared" ca="1" si="37"/>
        <v>0</v>
      </c>
      <c r="F572" s="4">
        <f t="shared" ca="1" si="35"/>
        <v>0</v>
      </c>
      <c r="G572" s="5">
        <f t="shared" ca="1" si="36"/>
        <v>0</v>
      </c>
    </row>
    <row r="573" spans="2:7" x14ac:dyDescent="0.25">
      <c r="B573" s="22">
        <v>568</v>
      </c>
      <c r="C573" s="4">
        <f t="shared" ca="1" si="38"/>
        <v>-9.4046346072287346E-3</v>
      </c>
      <c r="D573" s="5">
        <f t="shared" ca="1" si="38"/>
        <v>-0.36058845270349993</v>
      </c>
      <c r="E573">
        <f t="shared" ca="1" si="37"/>
        <v>1</v>
      </c>
      <c r="F573" s="4">
        <f t="shared" ca="1" si="35"/>
        <v>-9.4046346072287346E-3</v>
      </c>
      <c r="G573" s="5">
        <f t="shared" ca="1" si="36"/>
        <v>-0.36058845270349993</v>
      </c>
    </row>
    <row r="574" spans="2:7" x14ac:dyDescent="0.25">
      <c r="B574" s="22">
        <v>569</v>
      </c>
      <c r="C574" s="4">
        <f t="shared" ca="1" si="38"/>
        <v>-0.68332665981786889</v>
      </c>
      <c r="D574" s="5">
        <f t="shared" ca="1" si="38"/>
        <v>0.18113070898987038</v>
      </c>
      <c r="E574">
        <f t="shared" ca="1" si="37"/>
        <v>1</v>
      </c>
      <c r="F574" s="4">
        <f t="shared" ca="1" si="35"/>
        <v>-0.68332665981786889</v>
      </c>
      <c r="G574" s="5">
        <f t="shared" ca="1" si="36"/>
        <v>0.18113070898987038</v>
      </c>
    </row>
    <row r="575" spans="2:7" x14ac:dyDescent="0.25">
      <c r="B575" s="22">
        <v>570</v>
      </c>
      <c r="C575" s="4">
        <f t="shared" ca="1" si="38"/>
        <v>0.95057747889677291</v>
      </c>
      <c r="D575" s="5">
        <f t="shared" ca="1" si="38"/>
        <v>0.50725166130466115</v>
      </c>
      <c r="E575">
        <f t="shared" ca="1" si="37"/>
        <v>0</v>
      </c>
      <c r="F575" s="4">
        <f t="shared" ca="1" si="35"/>
        <v>0</v>
      </c>
      <c r="G575" s="5">
        <f t="shared" ca="1" si="36"/>
        <v>0</v>
      </c>
    </row>
    <row r="576" spans="2:7" x14ac:dyDescent="0.25">
      <c r="B576" s="22">
        <v>571</v>
      </c>
      <c r="C576" s="4">
        <f t="shared" ca="1" si="38"/>
        <v>-0.28124852623193641</v>
      </c>
      <c r="D576" s="5">
        <f t="shared" ca="1" si="38"/>
        <v>-5.5232072117439968E-2</v>
      </c>
      <c r="E576">
        <f t="shared" ca="1" si="37"/>
        <v>1</v>
      </c>
      <c r="F576" s="4">
        <f t="shared" ca="1" si="35"/>
        <v>-0.28124852623193641</v>
      </c>
      <c r="G576" s="5">
        <f t="shared" ca="1" si="36"/>
        <v>-5.5232072117439968E-2</v>
      </c>
    </row>
    <row r="577" spans="2:7" x14ac:dyDescent="0.25">
      <c r="B577" s="22">
        <v>572</v>
      </c>
      <c r="C577" s="4">
        <f t="shared" ca="1" si="38"/>
        <v>0.2044166079136287</v>
      </c>
      <c r="D577" s="5">
        <f t="shared" ca="1" si="38"/>
        <v>0.41929955144135977</v>
      </c>
      <c r="E577">
        <f t="shared" ca="1" si="37"/>
        <v>1</v>
      </c>
      <c r="F577" s="4">
        <f t="shared" ca="1" si="35"/>
        <v>0.2044166079136287</v>
      </c>
      <c r="G577" s="5">
        <f t="shared" ca="1" si="36"/>
        <v>0.41929955144135977</v>
      </c>
    </row>
    <row r="578" spans="2:7" x14ac:dyDescent="0.25">
      <c r="B578" s="22">
        <v>573</v>
      </c>
      <c r="C578" s="4">
        <f t="shared" ca="1" si="38"/>
        <v>0.24530452975116801</v>
      </c>
      <c r="D578" s="5">
        <f t="shared" ca="1" si="38"/>
        <v>0.67435787234245037</v>
      </c>
      <c r="E578">
        <f t="shared" ca="1" si="37"/>
        <v>1</v>
      </c>
      <c r="F578" s="4">
        <f t="shared" ca="1" si="35"/>
        <v>0.24530452975116801</v>
      </c>
      <c r="G578" s="5">
        <f t="shared" ca="1" si="36"/>
        <v>0.67435787234245037</v>
      </c>
    </row>
    <row r="579" spans="2:7" x14ac:dyDescent="0.25">
      <c r="B579" s="22">
        <v>574</v>
      </c>
      <c r="C579" s="4">
        <f t="shared" ca="1" si="38"/>
        <v>0.95683200817575997</v>
      </c>
      <c r="D579" s="5">
        <f t="shared" ca="1" si="38"/>
        <v>0.51054208504009657</v>
      </c>
      <c r="E579">
        <f t="shared" ca="1" si="37"/>
        <v>0</v>
      </c>
      <c r="F579" s="4">
        <f t="shared" ca="1" si="35"/>
        <v>0</v>
      </c>
      <c r="G579" s="5">
        <f t="shared" ca="1" si="36"/>
        <v>0</v>
      </c>
    </row>
    <row r="580" spans="2:7" x14ac:dyDescent="0.25">
      <c r="B580" s="22">
        <v>575</v>
      </c>
      <c r="C580" s="4">
        <f t="shared" ca="1" si="38"/>
        <v>-0.17424009647661753</v>
      </c>
      <c r="D580" s="5">
        <f t="shared" ca="1" si="38"/>
        <v>-0.25987769616013279</v>
      </c>
      <c r="E580">
        <f t="shared" ca="1" si="37"/>
        <v>1</v>
      </c>
      <c r="F580" s="4">
        <f t="shared" ca="1" si="35"/>
        <v>-0.17424009647661753</v>
      </c>
      <c r="G580" s="5">
        <f t="shared" ca="1" si="36"/>
        <v>-0.25987769616013279</v>
      </c>
    </row>
    <row r="581" spans="2:7" x14ac:dyDescent="0.25">
      <c r="B581" s="22">
        <v>576</v>
      </c>
      <c r="C581" s="4">
        <f t="shared" ca="1" si="38"/>
        <v>-0.50682811180492449</v>
      </c>
      <c r="D581" s="5">
        <f t="shared" ca="1" si="38"/>
        <v>-0.85176331874496336</v>
      </c>
      <c r="E581">
        <f t="shared" ca="1" si="37"/>
        <v>1</v>
      </c>
      <c r="F581" s="4">
        <f t="shared" ca="1" si="35"/>
        <v>-0.50682811180492449</v>
      </c>
      <c r="G581" s="5">
        <f t="shared" ca="1" si="36"/>
        <v>-0.85176331874496336</v>
      </c>
    </row>
    <row r="582" spans="2:7" x14ac:dyDescent="0.25">
      <c r="B582" s="22">
        <v>577</v>
      </c>
      <c r="C582" s="4">
        <f t="shared" ca="1" si="38"/>
        <v>-0.92321123577938002</v>
      </c>
      <c r="D582" s="5">
        <f t="shared" ca="1" si="38"/>
        <v>0.19142555246902027</v>
      </c>
      <c r="E582">
        <f t="shared" ca="1" si="37"/>
        <v>1</v>
      </c>
      <c r="F582" s="4">
        <f t="shared" ref="F582:F645" ca="1" si="39">IF((C582^2+D582^2)&lt;1, C582, 0)</f>
        <v>-0.92321123577938002</v>
      </c>
      <c r="G582" s="5">
        <f t="shared" ref="G582:G645" ca="1" si="40">IF((C582^2+D582^2)&lt;1, D582, 0)</f>
        <v>0.19142555246902027</v>
      </c>
    </row>
    <row r="583" spans="2:7" x14ac:dyDescent="0.25">
      <c r="B583" s="22">
        <v>578</v>
      </c>
      <c r="C583" s="4">
        <f t="shared" ca="1" si="38"/>
        <v>0.91215048243629315</v>
      </c>
      <c r="D583" s="5">
        <f t="shared" ca="1" si="38"/>
        <v>-8.2290133882115812E-2</v>
      </c>
      <c r="E583">
        <f t="shared" ref="E583:E646" ca="1" si="41">IF(C583^2+D583^2&lt;1, 1, 0)</f>
        <v>1</v>
      </c>
      <c r="F583" s="4">
        <f t="shared" ca="1" si="39"/>
        <v>0.91215048243629315</v>
      </c>
      <c r="G583" s="5">
        <f t="shared" ca="1" si="40"/>
        <v>-8.2290133882115812E-2</v>
      </c>
    </row>
    <row r="584" spans="2:7" x14ac:dyDescent="0.25">
      <c r="B584" s="22">
        <v>579</v>
      </c>
      <c r="C584" s="4">
        <f t="shared" ca="1" si="38"/>
        <v>-0.86026856101317928</v>
      </c>
      <c r="D584" s="5">
        <f t="shared" ca="1" si="38"/>
        <v>1.5487297204106687E-2</v>
      </c>
      <c r="E584">
        <f t="shared" ca="1" si="41"/>
        <v>1</v>
      </c>
      <c r="F584" s="4">
        <f t="shared" ca="1" si="39"/>
        <v>-0.86026856101317928</v>
      </c>
      <c r="G584" s="5">
        <f t="shared" ca="1" si="40"/>
        <v>1.5487297204106687E-2</v>
      </c>
    </row>
    <row r="585" spans="2:7" x14ac:dyDescent="0.25">
      <c r="B585" s="22">
        <v>580</v>
      </c>
      <c r="C585" s="4">
        <f t="shared" ca="1" si="38"/>
        <v>-0.15948004243958969</v>
      </c>
      <c r="D585" s="5">
        <f t="shared" ca="1" si="38"/>
        <v>-0.80005792920033714</v>
      </c>
      <c r="E585">
        <f t="shared" ca="1" si="41"/>
        <v>1</v>
      </c>
      <c r="F585" s="4">
        <f t="shared" ca="1" si="39"/>
        <v>-0.15948004243958969</v>
      </c>
      <c r="G585" s="5">
        <f t="shared" ca="1" si="40"/>
        <v>-0.80005792920033714</v>
      </c>
    </row>
    <row r="586" spans="2:7" x14ac:dyDescent="0.25">
      <c r="B586" s="22">
        <v>581</v>
      </c>
      <c r="C586" s="4">
        <f t="shared" ca="1" si="38"/>
        <v>0.67783479856719175</v>
      </c>
      <c r="D586" s="5">
        <f t="shared" ca="1" si="38"/>
        <v>-0.4457912850403658</v>
      </c>
      <c r="E586">
        <f t="shared" ca="1" si="41"/>
        <v>1</v>
      </c>
      <c r="F586" s="4">
        <f t="shared" ca="1" si="39"/>
        <v>0.67783479856719175</v>
      </c>
      <c r="G586" s="5">
        <f t="shared" ca="1" si="40"/>
        <v>-0.4457912850403658</v>
      </c>
    </row>
    <row r="587" spans="2:7" x14ac:dyDescent="0.25">
      <c r="B587" s="22">
        <v>582</v>
      </c>
      <c r="C587" s="4">
        <f t="shared" ca="1" si="38"/>
        <v>0.59825166619725301</v>
      </c>
      <c r="D587" s="5">
        <f t="shared" ca="1" si="38"/>
        <v>-0.24442911457892902</v>
      </c>
      <c r="E587">
        <f t="shared" ca="1" si="41"/>
        <v>1</v>
      </c>
      <c r="F587" s="4">
        <f t="shared" ca="1" si="39"/>
        <v>0.59825166619725301</v>
      </c>
      <c r="G587" s="5">
        <f t="shared" ca="1" si="40"/>
        <v>-0.24442911457892902</v>
      </c>
    </row>
    <row r="588" spans="2:7" x14ac:dyDescent="0.25">
      <c r="B588" s="22">
        <v>583</v>
      </c>
      <c r="C588" s="4">
        <f t="shared" ca="1" si="38"/>
        <v>0.28108552263977771</v>
      </c>
      <c r="D588" s="5">
        <f t="shared" ca="1" si="38"/>
        <v>0.80832051341923394</v>
      </c>
      <c r="E588">
        <f t="shared" ca="1" si="41"/>
        <v>1</v>
      </c>
      <c r="F588" s="4">
        <f t="shared" ca="1" si="39"/>
        <v>0.28108552263977771</v>
      </c>
      <c r="G588" s="5">
        <f t="shared" ca="1" si="40"/>
        <v>0.80832051341923394</v>
      </c>
    </row>
    <row r="589" spans="2:7" x14ac:dyDescent="0.25">
      <c r="B589" s="22">
        <v>584</v>
      </c>
      <c r="C589" s="4">
        <f t="shared" ca="1" si="38"/>
        <v>-0.14972586926023346</v>
      </c>
      <c r="D589" s="5">
        <f t="shared" ca="1" si="38"/>
        <v>-0.57680758822409595</v>
      </c>
      <c r="E589">
        <f t="shared" ca="1" si="41"/>
        <v>1</v>
      </c>
      <c r="F589" s="4">
        <f t="shared" ca="1" si="39"/>
        <v>-0.14972586926023346</v>
      </c>
      <c r="G589" s="5">
        <f t="shared" ca="1" si="40"/>
        <v>-0.57680758822409595</v>
      </c>
    </row>
    <row r="590" spans="2:7" x14ac:dyDescent="0.25">
      <c r="B590" s="22">
        <v>585</v>
      </c>
      <c r="C590" s="4">
        <f t="shared" ca="1" si="38"/>
        <v>0.71299584668553728</v>
      </c>
      <c r="D590" s="5">
        <f t="shared" ca="1" si="38"/>
        <v>0.95612831606099968</v>
      </c>
      <c r="E590">
        <f t="shared" ca="1" si="41"/>
        <v>0</v>
      </c>
      <c r="F590" s="4">
        <f t="shared" ca="1" si="39"/>
        <v>0</v>
      </c>
      <c r="G590" s="5">
        <f t="shared" ca="1" si="40"/>
        <v>0</v>
      </c>
    </row>
    <row r="591" spans="2:7" x14ac:dyDescent="0.25">
      <c r="B591" s="22">
        <v>586</v>
      </c>
      <c r="C591" s="4">
        <f t="shared" ca="1" si="38"/>
        <v>-9.511410557569433E-2</v>
      </c>
      <c r="D591" s="5">
        <f t="shared" ca="1" si="38"/>
        <v>0.87898005789091571</v>
      </c>
      <c r="E591">
        <f t="shared" ca="1" si="41"/>
        <v>1</v>
      </c>
      <c r="F591" s="4">
        <f t="shared" ca="1" si="39"/>
        <v>-9.511410557569433E-2</v>
      </c>
      <c r="G591" s="5">
        <f t="shared" ca="1" si="40"/>
        <v>0.87898005789091571</v>
      </c>
    </row>
    <row r="592" spans="2:7" x14ac:dyDescent="0.25">
      <c r="B592" s="22">
        <v>587</v>
      </c>
      <c r="C592" s="4">
        <f t="shared" ca="1" si="38"/>
        <v>-1.8288321650844708E-2</v>
      </c>
      <c r="D592" s="5">
        <f t="shared" ca="1" si="38"/>
        <v>-0.71861250857966352</v>
      </c>
      <c r="E592">
        <f t="shared" ca="1" si="41"/>
        <v>1</v>
      </c>
      <c r="F592" s="4">
        <f t="shared" ca="1" si="39"/>
        <v>-1.8288321650844708E-2</v>
      </c>
      <c r="G592" s="5">
        <f t="shared" ca="1" si="40"/>
        <v>-0.71861250857966352</v>
      </c>
    </row>
    <row r="593" spans="2:7" x14ac:dyDescent="0.25">
      <c r="B593" s="22">
        <v>588</v>
      </c>
      <c r="C593" s="4">
        <f t="shared" ca="1" si="38"/>
        <v>0.2154871765098676</v>
      </c>
      <c r="D593" s="5">
        <f t="shared" ca="1" si="38"/>
        <v>0.39899497091093328</v>
      </c>
      <c r="E593">
        <f t="shared" ca="1" si="41"/>
        <v>1</v>
      </c>
      <c r="F593" s="4">
        <f t="shared" ca="1" si="39"/>
        <v>0.2154871765098676</v>
      </c>
      <c r="G593" s="5">
        <f t="shared" ca="1" si="40"/>
        <v>0.39899497091093328</v>
      </c>
    </row>
    <row r="594" spans="2:7" x14ac:dyDescent="0.25">
      <c r="B594" s="22">
        <v>589</v>
      </c>
      <c r="C594" s="4">
        <f t="shared" ca="1" si="38"/>
        <v>0.34771933642661557</v>
      </c>
      <c r="D594" s="5">
        <f t="shared" ca="1" si="38"/>
        <v>0.87342463391189407</v>
      </c>
      <c r="E594">
        <f t="shared" ca="1" si="41"/>
        <v>1</v>
      </c>
      <c r="F594" s="4">
        <f t="shared" ca="1" si="39"/>
        <v>0.34771933642661557</v>
      </c>
      <c r="G594" s="5">
        <f t="shared" ca="1" si="40"/>
        <v>0.87342463391189407</v>
      </c>
    </row>
    <row r="595" spans="2:7" x14ac:dyDescent="0.25">
      <c r="B595" s="22">
        <v>590</v>
      </c>
      <c r="C595" s="4">
        <f t="shared" ca="1" si="38"/>
        <v>0.52159937444783178</v>
      </c>
      <c r="D595" s="5">
        <f t="shared" ca="1" si="38"/>
        <v>-0.65042509120194847</v>
      </c>
      <c r="E595">
        <f t="shared" ca="1" si="41"/>
        <v>1</v>
      </c>
      <c r="F595" s="4">
        <f t="shared" ca="1" si="39"/>
        <v>0.52159937444783178</v>
      </c>
      <c r="G595" s="5">
        <f t="shared" ca="1" si="40"/>
        <v>-0.65042509120194847</v>
      </c>
    </row>
    <row r="596" spans="2:7" x14ac:dyDescent="0.25">
      <c r="B596" s="22">
        <v>591</v>
      </c>
      <c r="C596" s="4">
        <f t="shared" ca="1" si="38"/>
        <v>0.8601853706338356</v>
      </c>
      <c r="D596" s="5">
        <f t="shared" ca="1" si="38"/>
        <v>0.72167603761236965</v>
      </c>
      <c r="E596">
        <f t="shared" ca="1" si="41"/>
        <v>0</v>
      </c>
      <c r="F596" s="4">
        <f t="shared" ca="1" si="39"/>
        <v>0</v>
      </c>
      <c r="G596" s="5">
        <f t="shared" ca="1" si="40"/>
        <v>0</v>
      </c>
    </row>
    <row r="597" spans="2:7" x14ac:dyDescent="0.25">
      <c r="B597" s="22">
        <v>592</v>
      </c>
      <c r="C597" s="4">
        <f t="shared" ca="1" si="38"/>
        <v>0.29310256213067176</v>
      </c>
      <c r="D597" s="5">
        <f t="shared" ca="1" si="38"/>
        <v>-0.39395389393402103</v>
      </c>
      <c r="E597">
        <f t="shared" ca="1" si="41"/>
        <v>1</v>
      </c>
      <c r="F597" s="4">
        <f t="shared" ca="1" si="39"/>
        <v>0.29310256213067176</v>
      </c>
      <c r="G597" s="5">
        <f t="shared" ca="1" si="40"/>
        <v>-0.39395389393402103</v>
      </c>
    </row>
    <row r="598" spans="2:7" x14ac:dyDescent="0.25">
      <c r="B598" s="22">
        <v>593</v>
      </c>
      <c r="C598" s="4">
        <f t="shared" ca="1" si="38"/>
        <v>-0.89802432505295227</v>
      </c>
      <c r="D598" s="5">
        <f t="shared" ca="1" si="38"/>
        <v>-0.56651397854794094</v>
      </c>
      <c r="E598">
        <f t="shared" ca="1" si="41"/>
        <v>0</v>
      </c>
      <c r="F598" s="4">
        <f t="shared" ca="1" si="39"/>
        <v>0</v>
      </c>
      <c r="G598" s="5">
        <f t="shared" ca="1" si="40"/>
        <v>0</v>
      </c>
    </row>
    <row r="599" spans="2:7" x14ac:dyDescent="0.25">
      <c r="B599" s="22">
        <v>594</v>
      </c>
      <c r="C599" s="4">
        <f t="shared" ref="C599:D662" ca="1" si="42">1-2*RAND()</f>
        <v>-9.9513205970470642E-2</v>
      </c>
      <c r="D599" s="5">
        <f t="shared" ca="1" si="42"/>
        <v>-0.65505940437526955</v>
      </c>
      <c r="E599">
        <f t="shared" ca="1" si="41"/>
        <v>1</v>
      </c>
      <c r="F599" s="4">
        <f t="shared" ca="1" si="39"/>
        <v>-9.9513205970470642E-2</v>
      </c>
      <c r="G599" s="5">
        <f t="shared" ca="1" si="40"/>
        <v>-0.65505940437526955</v>
      </c>
    </row>
    <row r="600" spans="2:7" x14ac:dyDescent="0.25">
      <c r="B600" s="22">
        <v>595</v>
      </c>
      <c r="C600" s="4">
        <f t="shared" ca="1" si="42"/>
        <v>-0.64357498653999068</v>
      </c>
      <c r="D600" s="5">
        <f t="shared" ca="1" si="42"/>
        <v>0.1336077154921822</v>
      </c>
      <c r="E600">
        <f t="shared" ca="1" si="41"/>
        <v>1</v>
      </c>
      <c r="F600" s="4">
        <f t="shared" ca="1" si="39"/>
        <v>-0.64357498653999068</v>
      </c>
      <c r="G600" s="5">
        <f t="shared" ca="1" si="40"/>
        <v>0.1336077154921822</v>
      </c>
    </row>
    <row r="601" spans="2:7" x14ac:dyDescent="0.25">
      <c r="B601" s="22">
        <v>596</v>
      </c>
      <c r="C601" s="4">
        <f t="shared" ca="1" si="42"/>
        <v>0.58753721728019515</v>
      </c>
      <c r="D601" s="5">
        <f t="shared" ca="1" si="42"/>
        <v>0.41376921815615342</v>
      </c>
      <c r="E601">
        <f t="shared" ca="1" si="41"/>
        <v>1</v>
      </c>
      <c r="F601" s="4">
        <f t="shared" ca="1" si="39"/>
        <v>0.58753721728019515</v>
      </c>
      <c r="G601" s="5">
        <f t="shared" ca="1" si="40"/>
        <v>0.41376921815615342</v>
      </c>
    </row>
    <row r="602" spans="2:7" x14ac:dyDescent="0.25">
      <c r="B602" s="22">
        <v>597</v>
      </c>
      <c r="C602" s="4">
        <f t="shared" ca="1" si="42"/>
        <v>0.89730190524030684</v>
      </c>
      <c r="D602" s="5">
        <f t="shared" ca="1" si="42"/>
        <v>0.96124543028889442</v>
      </c>
      <c r="E602">
        <f t="shared" ca="1" si="41"/>
        <v>0</v>
      </c>
      <c r="F602" s="4">
        <f t="shared" ca="1" si="39"/>
        <v>0</v>
      </c>
      <c r="G602" s="5">
        <f t="shared" ca="1" si="40"/>
        <v>0</v>
      </c>
    </row>
    <row r="603" spans="2:7" x14ac:dyDescent="0.25">
      <c r="B603" s="22">
        <v>598</v>
      </c>
      <c r="C603" s="4">
        <f t="shared" ca="1" si="42"/>
        <v>-0.5211296978765052</v>
      </c>
      <c r="D603" s="5">
        <f t="shared" ca="1" si="42"/>
        <v>-9.2566102699596309E-2</v>
      </c>
      <c r="E603">
        <f t="shared" ca="1" si="41"/>
        <v>1</v>
      </c>
      <c r="F603" s="4">
        <f t="shared" ca="1" si="39"/>
        <v>-0.5211296978765052</v>
      </c>
      <c r="G603" s="5">
        <f t="shared" ca="1" si="40"/>
        <v>-9.2566102699596309E-2</v>
      </c>
    </row>
    <row r="604" spans="2:7" x14ac:dyDescent="0.25">
      <c r="B604" s="22">
        <v>599</v>
      </c>
      <c r="C604" s="4">
        <f t="shared" ca="1" si="42"/>
        <v>0.86250694461074318</v>
      </c>
      <c r="D604" s="5">
        <f t="shared" ca="1" si="42"/>
        <v>-0.91589772247235723</v>
      </c>
      <c r="E604">
        <f t="shared" ca="1" si="41"/>
        <v>0</v>
      </c>
      <c r="F604" s="4">
        <f t="shared" ca="1" si="39"/>
        <v>0</v>
      </c>
      <c r="G604" s="5">
        <f t="shared" ca="1" si="40"/>
        <v>0</v>
      </c>
    </row>
    <row r="605" spans="2:7" x14ac:dyDescent="0.25">
      <c r="B605" s="22">
        <v>600</v>
      </c>
      <c r="C605" s="4">
        <f t="shared" ca="1" si="42"/>
        <v>-0.99594973604527048</v>
      </c>
      <c r="D605" s="5">
        <f t="shared" ca="1" si="42"/>
        <v>-0.33708708503842533</v>
      </c>
      <c r="E605">
        <f t="shared" ca="1" si="41"/>
        <v>0</v>
      </c>
      <c r="F605" s="4">
        <f t="shared" ca="1" si="39"/>
        <v>0</v>
      </c>
      <c r="G605" s="5">
        <f t="shared" ca="1" si="40"/>
        <v>0</v>
      </c>
    </row>
    <row r="606" spans="2:7" x14ac:dyDescent="0.25">
      <c r="B606" s="22">
        <v>601</v>
      </c>
      <c r="C606" s="4">
        <f t="shared" ca="1" si="42"/>
        <v>-0.78984712529513201</v>
      </c>
      <c r="D606" s="5">
        <f t="shared" ca="1" si="42"/>
        <v>0.27901427469705342</v>
      </c>
      <c r="E606">
        <f t="shared" ca="1" si="41"/>
        <v>1</v>
      </c>
      <c r="F606" s="4">
        <f t="shared" ca="1" si="39"/>
        <v>-0.78984712529513201</v>
      </c>
      <c r="G606" s="5">
        <f t="shared" ca="1" si="40"/>
        <v>0.27901427469705342</v>
      </c>
    </row>
    <row r="607" spans="2:7" x14ac:dyDescent="0.25">
      <c r="B607" s="22">
        <v>602</v>
      </c>
      <c r="C607" s="4">
        <f t="shared" ca="1" si="42"/>
        <v>0.97145206333994905</v>
      </c>
      <c r="D607" s="5">
        <f t="shared" ca="1" si="42"/>
        <v>0.49759323392552668</v>
      </c>
      <c r="E607">
        <f t="shared" ca="1" si="41"/>
        <v>0</v>
      </c>
      <c r="F607" s="4">
        <f t="shared" ca="1" si="39"/>
        <v>0</v>
      </c>
      <c r="G607" s="5">
        <f t="shared" ca="1" si="40"/>
        <v>0</v>
      </c>
    </row>
    <row r="608" spans="2:7" x14ac:dyDescent="0.25">
      <c r="B608" s="22">
        <v>603</v>
      </c>
      <c r="C608" s="4">
        <f t="shared" ca="1" si="42"/>
        <v>0.89195230245438895</v>
      </c>
      <c r="D608" s="5">
        <f t="shared" ca="1" si="42"/>
        <v>0.35505124253691478</v>
      </c>
      <c r="E608">
        <f t="shared" ca="1" si="41"/>
        <v>1</v>
      </c>
      <c r="F608" s="4">
        <f t="shared" ca="1" si="39"/>
        <v>0.89195230245438895</v>
      </c>
      <c r="G608" s="5">
        <f t="shared" ca="1" si="40"/>
        <v>0.35505124253691478</v>
      </c>
    </row>
    <row r="609" spans="2:7" x14ac:dyDescent="0.25">
      <c r="B609" s="22">
        <v>604</v>
      </c>
      <c r="C609" s="4">
        <f t="shared" ca="1" si="42"/>
        <v>0.40976536560994847</v>
      </c>
      <c r="D609" s="5">
        <f t="shared" ca="1" si="42"/>
        <v>-0.2142521228162515</v>
      </c>
      <c r="E609">
        <f t="shared" ca="1" si="41"/>
        <v>1</v>
      </c>
      <c r="F609" s="4">
        <f t="shared" ca="1" si="39"/>
        <v>0.40976536560994847</v>
      </c>
      <c r="G609" s="5">
        <f t="shared" ca="1" si="40"/>
        <v>-0.2142521228162515</v>
      </c>
    </row>
    <row r="610" spans="2:7" x14ac:dyDescent="0.25">
      <c r="B610" s="22">
        <v>605</v>
      </c>
      <c r="C610" s="4">
        <f t="shared" ca="1" si="42"/>
        <v>-0.74517212925174126</v>
      </c>
      <c r="D610" s="5">
        <f t="shared" ca="1" si="42"/>
        <v>-0.77942173110315638</v>
      </c>
      <c r="E610">
        <f t="shared" ca="1" si="41"/>
        <v>0</v>
      </c>
      <c r="F610" s="4">
        <f t="shared" ca="1" si="39"/>
        <v>0</v>
      </c>
      <c r="G610" s="5">
        <f t="shared" ca="1" si="40"/>
        <v>0</v>
      </c>
    </row>
    <row r="611" spans="2:7" x14ac:dyDescent="0.25">
      <c r="B611" s="22">
        <v>606</v>
      </c>
      <c r="C611" s="4">
        <f t="shared" ca="1" si="42"/>
        <v>-0.75703705929642484</v>
      </c>
      <c r="D611" s="5">
        <f t="shared" ca="1" si="42"/>
        <v>-0.96649507933700662</v>
      </c>
      <c r="E611">
        <f t="shared" ca="1" si="41"/>
        <v>0</v>
      </c>
      <c r="F611" s="4">
        <f t="shared" ca="1" si="39"/>
        <v>0</v>
      </c>
      <c r="G611" s="5">
        <f t="shared" ca="1" si="40"/>
        <v>0</v>
      </c>
    </row>
    <row r="612" spans="2:7" x14ac:dyDescent="0.25">
      <c r="B612" s="22">
        <v>607</v>
      </c>
      <c r="C612" s="4">
        <f t="shared" ca="1" si="42"/>
        <v>-0.80058650862410574</v>
      </c>
      <c r="D612" s="5">
        <f t="shared" ca="1" si="42"/>
        <v>-0.44895629125606074</v>
      </c>
      <c r="E612">
        <f t="shared" ca="1" si="41"/>
        <v>1</v>
      </c>
      <c r="F612" s="4">
        <f t="shared" ca="1" si="39"/>
        <v>-0.80058650862410574</v>
      </c>
      <c r="G612" s="5">
        <f t="shared" ca="1" si="40"/>
        <v>-0.44895629125606074</v>
      </c>
    </row>
    <row r="613" spans="2:7" x14ac:dyDescent="0.25">
      <c r="B613" s="22">
        <v>608</v>
      </c>
      <c r="C613" s="4">
        <f t="shared" ca="1" si="42"/>
        <v>0.32143846313092572</v>
      </c>
      <c r="D613" s="5">
        <f t="shared" ca="1" si="42"/>
        <v>0.67368947940095913</v>
      </c>
      <c r="E613">
        <f t="shared" ca="1" si="41"/>
        <v>1</v>
      </c>
      <c r="F613" s="4">
        <f t="shared" ca="1" si="39"/>
        <v>0.32143846313092572</v>
      </c>
      <c r="G613" s="5">
        <f t="shared" ca="1" si="40"/>
        <v>0.67368947940095913</v>
      </c>
    </row>
    <row r="614" spans="2:7" x14ac:dyDescent="0.25">
      <c r="B614" s="22">
        <v>609</v>
      </c>
      <c r="C614" s="4">
        <f t="shared" ca="1" si="42"/>
        <v>-0.2736437236326339</v>
      </c>
      <c r="D614" s="5">
        <f t="shared" ca="1" si="42"/>
        <v>0.17424429727694313</v>
      </c>
      <c r="E614">
        <f t="shared" ca="1" si="41"/>
        <v>1</v>
      </c>
      <c r="F614" s="4">
        <f t="shared" ca="1" si="39"/>
        <v>-0.2736437236326339</v>
      </c>
      <c r="G614" s="5">
        <f t="shared" ca="1" si="40"/>
        <v>0.17424429727694313</v>
      </c>
    </row>
    <row r="615" spans="2:7" x14ac:dyDescent="0.25">
      <c r="B615" s="22">
        <v>610</v>
      </c>
      <c r="C615" s="4">
        <f t="shared" ca="1" si="42"/>
        <v>-0.67350552861397106</v>
      </c>
      <c r="D615" s="5">
        <f t="shared" ca="1" si="42"/>
        <v>0.77861626833828668</v>
      </c>
      <c r="E615">
        <f t="shared" ca="1" si="41"/>
        <v>0</v>
      </c>
      <c r="F615" s="4">
        <f t="shared" ca="1" si="39"/>
        <v>0</v>
      </c>
      <c r="G615" s="5">
        <f t="shared" ca="1" si="40"/>
        <v>0</v>
      </c>
    </row>
    <row r="616" spans="2:7" x14ac:dyDescent="0.25">
      <c r="B616" s="22">
        <v>611</v>
      </c>
      <c r="C616" s="4">
        <f t="shared" ca="1" si="42"/>
        <v>-0.35841596991058644</v>
      </c>
      <c r="D616" s="5">
        <f t="shared" ca="1" si="42"/>
        <v>0.88326137148740269</v>
      </c>
      <c r="E616">
        <f t="shared" ca="1" si="41"/>
        <v>1</v>
      </c>
      <c r="F616" s="4">
        <f t="shared" ca="1" si="39"/>
        <v>-0.35841596991058644</v>
      </c>
      <c r="G616" s="5">
        <f t="shared" ca="1" si="40"/>
        <v>0.88326137148740269</v>
      </c>
    </row>
    <row r="617" spans="2:7" x14ac:dyDescent="0.25">
      <c r="B617" s="22">
        <v>612</v>
      </c>
      <c r="C617" s="4">
        <f t="shared" ca="1" si="42"/>
        <v>0.3315041322234249</v>
      </c>
      <c r="D617" s="5">
        <f t="shared" ca="1" si="42"/>
        <v>0.28121953799768273</v>
      </c>
      <c r="E617">
        <f t="shared" ca="1" si="41"/>
        <v>1</v>
      </c>
      <c r="F617" s="4">
        <f t="shared" ca="1" si="39"/>
        <v>0.3315041322234249</v>
      </c>
      <c r="G617" s="5">
        <f t="shared" ca="1" si="40"/>
        <v>0.28121953799768273</v>
      </c>
    </row>
    <row r="618" spans="2:7" x14ac:dyDescent="0.25">
      <c r="B618" s="22">
        <v>613</v>
      </c>
      <c r="C618" s="4">
        <f t="shared" ca="1" si="42"/>
        <v>-0.34774205289091586</v>
      </c>
      <c r="D618" s="5">
        <f t="shared" ca="1" si="42"/>
        <v>-0.32599738011866886</v>
      </c>
      <c r="E618">
        <f t="shared" ca="1" si="41"/>
        <v>1</v>
      </c>
      <c r="F618" s="4">
        <f t="shared" ca="1" si="39"/>
        <v>-0.34774205289091586</v>
      </c>
      <c r="G618" s="5">
        <f t="shared" ca="1" si="40"/>
        <v>-0.32599738011866886</v>
      </c>
    </row>
    <row r="619" spans="2:7" x14ac:dyDescent="0.25">
      <c r="B619" s="22">
        <v>614</v>
      </c>
      <c r="C619" s="4">
        <f t="shared" ca="1" si="42"/>
        <v>1.365264356486029E-2</v>
      </c>
      <c r="D619" s="5">
        <f t="shared" ca="1" si="42"/>
        <v>0.51744858989519171</v>
      </c>
      <c r="E619">
        <f t="shared" ca="1" si="41"/>
        <v>1</v>
      </c>
      <c r="F619" s="4">
        <f t="shared" ca="1" si="39"/>
        <v>1.365264356486029E-2</v>
      </c>
      <c r="G619" s="5">
        <f t="shared" ca="1" si="40"/>
        <v>0.51744858989519171</v>
      </c>
    </row>
    <row r="620" spans="2:7" x14ac:dyDescent="0.25">
      <c r="B620" s="22">
        <v>615</v>
      </c>
      <c r="C620" s="4">
        <f t="shared" ca="1" si="42"/>
        <v>0.36510036585581362</v>
      </c>
      <c r="D620" s="5">
        <f t="shared" ca="1" si="42"/>
        <v>3.8228643346265079E-2</v>
      </c>
      <c r="E620">
        <f t="shared" ca="1" si="41"/>
        <v>1</v>
      </c>
      <c r="F620" s="4">
        <f t="shared" ca="1" si="39"/>
        <v>0.36510036585581362</v>
      </c>
      <c r="G620" s="5">
        <f t="shared" ca="1" si="40"/>
        <v>3.8228643346265079E-2</v>
      </c>
    </row>
    <row r="621" spans="2:7" x14ac:dyDescent="0.25">
      <c r="B621" s="22">
        <v>616</v>
      </c>
      <c r="C621" s="4">
        <f t="shared" ca="1" si="42"/>
        <v>0.9835150547380509</v>
      </c>
      <c r="D621" s="5">
        <f t="shared" ca="1" si="42"/>
        <v>0.89796548577008384</v>
      </c>
      <c r="E621">
        <f t="shared" ca="1" si="41"/>
        <v>0</v>
      </c>
      <c r="F621" s="4">
        <f t="shared" ca="1" si="39"/>
        <v>0</v>
      </c>
      <c r="G621" s="5">
        <f t="shared" ca="1" si="40"/>
        <v>0</v>
      </c>
    </row>
    <row r="622" spans="2:7" x14ac:dyDescent="0.25">
      <c r="B622" s="22">
        <v>617</v>
      </c>
      <c r="C622" s="4">
        <f t="shared" ca="1" si="42"/>
        <v>0.710987141915703</v>
      </c>
      <c r="D622" s="5">
        <f t="shared" ca="1" si="42"/>
        <v>-0.81616083093852732</v>
      </c>
      <c r="E622">
        <f t="shared" ca="1" si="41"/>
        <v>0</v>
      </c>
      <c r="F622" s="4">
        <f t="shared" ca="1" si="39"/>
        <v>0</v>
      </c>
      <c r="G622" s="5">
        <f t="shared" ca="1" si="40"/>
        <v>0</v>
      </c>
    </row>
    <row r="623" spans="2:7" x14ac:dyDescent="0.25">
      <c r="B623" s="22">
        <v>618</v>
      </c>
      <c r="C623" s="4">
        <f t="shared" ca="1" si="42"/>
        <v>0.62743209978301362</v>
      </c>
      <c r="D623" s="5">
        <f t="shared" ca="1" si="42"/>
        <v>-0.82141824904361793</v>
      </c>
      <c r="E623">
        <f t="shared" ca="1" si="41"/>
        <v>0</v>
      </c>
      <c r="F623" s="4">
        <f t="shared" ca="1" si="39"/>
        <v>0</v>
      </c>
      <c r="G623" s="5">
        <f t="shared" ca="1" si="40"/>
        <v>0</v>
      </c>
    </row>
    <row r="624" spans="2:7" x14ac:dyDescent="0.25">
      <c r="B624" s="22">
        <v>619</v>
      </c>
      <c r="C624" s="4">
        <f t="shared" ca="1" si="42"/>
        <v>-0.50115186202699546</v>
      </c>
      <c r="D624" s="5">
        <f t="shared" ca="1" si="42"/>
        <v>0.81159975749308289</v>
      </c>
      <c r="E624">
        <f t="shared" ca="1" si="41"/>
        <v>1</v>
      </c>
      <c r="F624" s="4">
        <f t="shared" ca="1" si="39"/>
        <v>-0.50115186202699546</v>
      </c>
      <c r="G624" s="5">
        <f t="shared" ca="1" si="40"/>
        <v>0.81159975749308289</v>
      </c>
    </row>
    <row r="625" spans="2:7" x14ac:dyDescent="0.25">
      <c r="B625" s="22">
        <v>620</v>
      </c>
      <c r="C625" s="4">
        <f t="shared" ca="1" si="42"/>
        <v>0.27446531883552927</v>
      </c>
      <c r="D625" s="5">
        <f t="shared" ca="1" si="42"/>
        <v>-0.52946310141548114</v>
      </c>
      <c r="E625">
        <f t="shared" ca="1" si="41"/>
        <v>1</v>
      </c>
      <c r="F625" s="4">
        <f t="shared" ca="1" si="39"/>
        <v>0.27446531883552927</v>
      </c>
      <c r="G625" s="5">
        <f t="shared" ca="1" si="40"/>
        <v>-0.52946310141548114</v>
      </c>
    </row>
    <row r="626" spans="2:7" x14ac:dyDescent="0.25">
      <c r="B626" s="22">
        <v>621</v>
      </c>
      <c r="C626" s="4">
        <f t="shared" ca="1" si="42"/>
        <v>-0.12171785650655687</v>
      </c>
      <c r="D626" s="5">
        <f t="shared" ca="1" si="42"/>
        <v>-0.53856874529536847</v>
      </c>
      <c r="E626">
        <f t="shared" ca="1" si="41"/>
        <v>1</v>
      </c>
      <c r="F626" s="4">
        <f t="shared" ca="1" si="39"/>
        <v>-0.12171785650655687</v>
      </c>
      <c r="G626" s="5">
        <f t="shared" ca="1" si="40"/>
        <v>-0.53856874529536847</v>
      </c>
    </row>
    <row r="627" spans="2:7" x14ac:dyDescent="0.25">
      <c r="B627" s="22">
        <v>622</v>
      </c>
      <c r="C627" s="4">
        <f t="shared" ca="1" si="42"/>
        <v>-0.74204567484177431</v>
      </c>
      <c r="D627" s="5">
        <f t="shared" ca="1" si="42"/>
        <v>0.26509812090394025</v>
      </c>
      <c r="E627">
        <f t="shared" ca="1" si="41"/>
        <v>1</v>
      </c>
      <c r="F627" s="4">
        <f t="shared" ca="1" si="39"/>
        <v>-0.74204567484177431</v>
      </c>
      <c r="G627" s="5">
        <f t="shared" ca="1" si="40"/>
        <v>0.26509812090394025</v>
      </c>
    </row>
    <row r="628" spans="2:7" x14ac:dyDescent="0.25">
      <c r="B628" s="22">
        <v>623</v>
      </c>
      <c r="C628" s="4">
        <f t="shared" ca="1" si="42"/>
        <v>-0.65855608160803425</v>
      </c>
      <c r="D628" s="5">
        <f t="shared" ca="1" si="42"/>
        <v>-0.22353507002210615</v>
      </c>
      <c r="E628">
        <f t="shared" ca="1" si="41"/>
        <v>1</v>
      </c>
      <c r="F628" s="4">
        <f t="shared" ca="1" si="39"/>
        <v>-0.65855608160803425</v>
      </c>
      <c r="G628" s="5">
        <f t="shared" ca="1" si="40"/>
        <v>-0.22353507002210615</v>
      </c>
    </row>
    <row r="629" spans="2:7" x14ac:dyDescent="0.25">
      <c r="B629" s="22">
        <v>624</v>
      </c>
      <c r="C629" s="4">
        <f t="shared" ca="1" si="42"/>
        <v>6.0390593349283872E-2</v>
      </c>
      <c r="D629" s="5">
        <f t="shared" ca="1" si="42"/>
        <v>0.33017228329563775</v>
      </c>
      <c r="E629">
        <f t="shared" ca="1" si="41"/>
        <v>1</v>
      </c>
      <c r="F629" s="4">
        <f t="shared" ca="1" si="39"/>
        <v>6.0390593349283872E-2</v>
      </c>
      <c r="G629" s="5">
        <f t="shared" ca="1" si="40"/>
        <v>0.33017228329563775</v>
      </c>
    </row>
    <row r="630" spans="2:7" x14ac:dyDescent="0.25">
      <c r="B630" s="22">
        <v>625</v>
      </c>
      <c r="C630" s="4">
        <f t="shared" ca="1" si="42"/>
        <v>0.59819066055417247</v>
      </c>
      <c r="D630" s="5">
        <f t="shared" ca="1" si="42"/>
        <v>0.88812490371052344</v>
      </c>
      <c r="E630">
        <f t="shared" ca="1" si="41"/>
        <v>0</v>
      </c>
      <c r="F630" s="4">
        <f t="shared" ca="1" si="39"/>
        <v>0</v>
      </c>
      <c r="G630" s="5">
        <f t="shared" ca="1" si="40"/>
        <v>0</v>
      </c>
    </row>
    <row r="631" spans="2:7" x14ac:dyDescent="0.25">
      <c r="B631" s="22">
        <v>626</v>
      </c>
      <c r="C631" s="4">
        <f t="shared" ca="1" si="42"/>
        <v>-0.44197705912350171</v>
      </c>
      <c r="D631" s="5">
        <f t="shared" ca="1" si="42"/>
        <v>0.65044817995294446</v>
      </c>
      <c r="E631">
        <f t="shared" ca="1" si="41"/>
        <v>1</v>
      </c>
      <c r="F631" s="4">
        <f t="shared" ca="1" si="39"/>
        <v>-0.44197705912350171</v>
      </c>
      <c r="G631" s="5">
        <f t="shared" ca="1" si="40"/>
        <v>0.65044817995294446</v>
      </c>
    </row>
    <row r="632" spans="2:7" x14ac:dyDescent="0.25">
      <c r="B632" s="22">
        <v>627</v>
      </c>
      <c r="C632" s="4">
        <f t="shared" ca="1" si="42"/>
        <v>-0.85509854083233039</v>
      </c>
      <c r="D632" s="5">
        <f t="shared" ca="1" si="42"/>
        <v>0.98737008792831205</v>
      </c>
      <c r="E632">
        <f t="shared" ca="1" si="41"/>
        <v>0</v>
      </c>
      <c r="F632" s="4">
        <f t="shared" ca="1" si="39"/>
        <v>0</v>
      </c>
      <c r="G632" s="5">
        <f t="shared" ca="1" si="40"/>
        <v>0</v>
      </c>
    </row>
    <row r="633" spans="2:7" x14ac:dyDescent="0.25">
      <c r="B633" s="22">
        <v>628</v>
      </c>
      <c r="C633" s="4">
        <f t="shared" ca="1" si="42"/>
        <v>-0.66327032083374138</v>
      </c>
      <c r="D633" s="5">
        <f t="shared" ca="1" si="42"/>
        <v>0.46299223334313711</v>
      </c>
      <c r="E633">
        <f t="shared" ca="1" si="41"/>
        <v>1</v>
      </c>
      <c r="F633" s="4">
        <f t="shared" ca="1" si="39"/>
        <v>-0.66327032083374138</v>
      </c>
      <c r="G633" s="5">
        <f t="shared" ca="1" si="40"/>
        <v>0.46299223334313711</v>
      </c>
    </row>
    <row r="634" spans="2:7" x14ac:dyDescent="0.25">
      <c r="B634" s="22">
        <v>629</v>
      </c>
      <c r="C634" s="4">
        <f t="shared" ca="1" si="42"/>
        <v>0.88937707563911461</v>
      </c>
      <c r="D634" s="5">
        <f t="shared" ca="1" si="42"/>
        <v>-0.51787275353341777</v>
      </c>
      <c r="E634">
        <f t="shared" ca="1" si="41"/>
        <v>0</v>
      </c>
      <c r="F634" s="4">
        <f t="shared" ca="1" si="39"/>
        <v>0</v>
      </c>
      <c r="G634" s="5">
        <f t="shared" ca="1" si="40"/>
        <v>0</v>
      </c>
    </row>
    <row r="635" spans="2:7" x14ac:dyDescent="0.25">
      <c r="B635" s="22">
        <v>630</v>
      </c>
      <c r="C635" s="4">
        <f t="shared" ca="1" si="42"/>
        <v>0.9866579682919443</v>
      </c>
      <c r="D635" s="5">
        <f t="shared" ca="1" si="42"/>
        <v>-9.0034841125212761E-2</v>
      </c>
      <c r="E635">
        <f t="shared" ca="1" si="41"/>
        <v>1</v>
      </c>
      <c r="F635" s="4">
        <f t="shared" ca="1" si="39"/>
        <v>0.9866579682919443</v>
      </c>
      <c r="G635" s="5">
        <f t="shared" ca="1" si="40"/>
        <v>-9.0034841125212761E-2</v>
      </c>
    </row>
    <row r="636" spans="2:7" x14ac:dyDescent="0.25">
      <c r="B636" s="22">
        <v>631</v>
      </c>
      <c r="C636" s="4">
        <f t="shared" ca="1" si="42"/>
        <v>0.70410345054143342</v>
      </c>
      <c r="D636" s="5">
        <f t="shared" ca="1" si="42"/>
        <v>-0.33213477296947236</v>
      </c>
      <c r="E636">
        <f t="shared" ca="1" si="41"/>
        <v>1</v>
      </c>
      <c r="F636" s="4">
        <f t="shared" ca="1" si="39"/>
        <v>0.70410345054143342</v>
      </c>
      <c r="G636" s="5">
        <f t="shared" ca="1" si="40"/>
        <v>-0.33213477296947236</v>
      </c>
    </row>
    <row r="637" spans="2:7" x14ac:dyDescent="0.25">
      <c r="B637" s="22">
        <v>632</v>
      </c>
      <c r="C637" s="4">
        <f t="shared" ca="1" si="42"/>
        <v>-0.37154060645414422</v>
      </c>
      <c r="D637" s="5">
        <f t="shared" ca="1" si="42"/>
        <v>-0.58905874937205005</v>
      </c>
      <c r="E637">
        <f t="shared" ca="1" si="41"/>
        <v>1</v>
      </c>
      <c r="F637" s="4">
        <f t="shared" ca="1" si="39"/>
        <v>-0.37154060645414422</v>
      </c>
      <c r="G637" s="5">
        <f t="shared" ca="1" si="40"/>
        <v>-0.58905874937205005</v>
      </c>
    </row>
    <row r="638" spans="2:7" x14ac:dyDescent="0.25">
      <c r="B638" s="22">
        <v>633</v>
      </c>
      <c r="C638" s="4">
        <f t="shared" ca="1" si="42"/>
        <v>0.68654858202189128</v>
      </c>
      <c r="D638" s="5">
        <f t="shared" ca="1" si="42"/>
        <v>0.38134663393187829</v>
      </c>
      <c r="E638">
        <f t="shared" ca="1" si="41"/>
        <v>1</v>
      </c>
      <c r="F638" s="4">
        <f t="shared" ca="1" si="39"/>
        <v>0.68654858202189128</v>
      </c>
      <c r="G638" s="5">
        <f t="shared" ca="1" si="40"/>
        <v>0.38134663393187829</v>
      </c>
    </row>
    <row r="639" spans="2:7" x14ac:dyDescent="0.25">
      <c r="B639" s="22">
        <v>634</v>
      </c>
      <c r="C639" s="4">
        <f t="shared" ca="1" si="42"/>
        <v>-0.27685046633922705</v>
      </c>
      <c r="D639" s="5">
        <f t="shared" ca="1" si="42"/>
        <v>2.158787216618685E-2</v>
      </c>
      <c r="E639">
        <f t="shared" ca="1" si="41"/>
        <v>1</v>
      </c>
      <c r="F639" s="4">
        <f t="shared" ca="1" si="39"/>
        <v>-0.27685046633922705</v>
      </c>
      <c r="G639" s="5">
        <f t="shared" ca="1" si="40"/>
        <v>2.158787216618685E-2</v>
      </c>
    </row>
    <row r="640" spans="2:7" x14ac:dyDescent="0.25">
      <c r="B640" s="22">
        <v>635</v>
      </c>
      <c r="C640" s="4">
        <f t="shared" ca="1" si="42"/>
        <v>-0.37319569318895374</v>
      </c>
      <c r="D640" s="5">
        <f t="shared" ca="1" si="42"/>
        <v>-0.88954977492541776</v>
      </c>
      <c r="E640">
        <f t="shared" ca="1" si="41"/>
        <v>1</v>
      </c>
      <c r="F640" s="4">
        <f t="shared" ca="1" si="39"/>
        <v>-0.37319569318895374</v>
      </c>
      <c r="G640" s="5">
        <f t="shared" ca="1" si="40"/>
        <v>-0.88954977492541776</v>
      </c>
    </row>
    <row r="641" spans="2:7" x14ac:dyDescent="0.25">
      <c r="B641" s="22">
        <v>636</v>
      </c>
      <c r="C641" s="4">
        <f t="shared" ca="1" si="42"/>
        <v>0.72337412931724043</v>
      </c>
      <c r="D641" s="5">
        <f t="shared" ca="1" si="42"/>
        <v>0.83811890233533992</v>
      </c>
      <c r="E641">
        <f t="shared" ca="1" si="41"/>
        <v>0</v>
      </c>
      <c r="F641" s="4">
        <f t="shared" ca="1" si="39"/>
        <v>0</v>
      </c>
      <c r="G641" s="5">
        <f t="shared" ca="1" si="40"/>
        <v>0</v>
      </c>
    </row>
    <row r="642" spans="2:7" x14ac:dyDescent="0.25">
      <c r="B642" s="22">
        <v>637</v>
      </c>
      <c r="C642" s="4">
        <f t="shared" ca="1" si="42"/>
        <v>0.18169336829418659</v>
      </c>
      <c r="D642" s="5">
        <f t="shared" ca="1" si="42"/>
        <v>0.63982862070012181</v>
      </c>
      <c r="E642">
        <f t="shared" ca="1" si="41"/>
        <v>1</v>
      </c>
      <c r="F642" s="4">
        <f t="shared" ca="1" si="39"/>
        <v>0.18169336829418659</v>
      </c>
      <c r="G642" s="5">
        <f t="shared" ca="1" si="40"/>
        <v>0.63982862070012181</v>
      </c>
    </row>
    <row r="643" spans="2:7" x14ac:dyDescent="0.25">
      <c r="B643" s="22">
        <v>638</v>
      </c>
      <c r="C643" s="4">
        <f t="shared" ca="1" si="42"/>
        <v>-0.99165894710002234</v>
      </c>
      <c r="D643" s="5">
        <f t="shared" ca="1" si="42"/>
        <v>-0.67442963876663531</v>
      </c>
      <c r="E643">
        <f t="shared" ca="1" si="41"/>
        <v>0</v>
      </c>
      <c r="F643" s="4">
        <f t="shared" ca="1" si="39"/>
        <v>0</v>
      </c>
      <c r="G643" s="5">
        <f t="shared" ca="1" si="40"/>
        <v>0</v>
      </c>
    </row>
    <row r="644" spans="2:7" x14ac:dyDescent="0.25">
      <c r="B644" s="22">
        <v>639</v>
      </c>
      <c r="C644" s="4">
        <f t="shared" ca="1" si="42"/>
        <v>0.59842471173569822</v>
      </c>
      <c r="D644" s="5">
        <f t="shared" ca="1" si="42"/>
        <v>-9.1791211206160517E-2</v>
      </c>
      <c r="E644">
        <f t="shared" ca="1" si="41"/>
        <v>1</v>
      </c>
      <c r="F644" s="4">
        <f t="shared" ca="1" si="39"/>
        <v>0.59842471173569822</v>
      </c>
      <c r="G644" s="5">
        <f t="shared" ca="1" si="40"/>
        <v>-9.1791211206160517E-2</v>
      </c>
    </row>
    <row r="645" spans="2:7" x14ac:dyDescent="0.25">
      <c r="B645" s="22">
        <v>640</v>
      </c>
      <c r="C645" s="4">
        <f t="shared" ca="1" si="42"/>
        <v>0.98502182101371716</v>
      </c>
      <c r="D645" s="5">
        <f t="shared" ca="1" si="42"/>
        <v>-0.17673778643996063</v>
      </c>
      <c r="E645">
        <f t="shared" ca="1" si="41"/>
        <v>0</v>
      </c>
      <c r="F645" s="4">
        <f t="shared" ca="1" si="39"/>
        <v>0</v>
      </c>
      <c r="G645" s="5">
        <f t="shared" ca="1" si="40"/>
        <v>0</v>
      </c>
    </row>
    <row r="646" spans="2:7" x14ac:dyDescent="0.25">
      <c r="B646" s="22">
        <v>641</v>
      </c>
      <c r="C646" s="4">
        <f t="shared" ca="1" si="42"/>
        <v>0.29970882787313258</v>
      </c>
      <c r="D646" s="5">
        <f t="shared" ca="1" si="42"/>
        <v>-7.2173040058658877E-2</v>
      </c>
      <c r="E646">
        <f t="shared" ca="1" si="41"/>
        <v>1</v>
      </c>
      <c r="F646" s="4">
        <f t="shared" ref="F646:F709" ca="1" si="43">IF((C646^2+D646^2)&lt;1, C646, 0)</f>
        <v>0.29970882787313258</v>
      </c>
      <c r="G646" s="5">
        <f t="shared" ref="G646:G709" ca="1" si="44">IF((C646^2+D646^2)&lt;1, D646, 0)</f>
        <v>-7.2173040058658877E-2</v>
      </c>
    </row>
    <row r="647" spans="2:7" x14ac:dyDescent="0.25">
      <c r="B647" s="22">
        <v>642</v>
      </c>
      <c r="C647" s="4">
        <f t="shared" ca="1" si="42"/>
        <v>-0.75873869704870822</v>
      </c>
      <c r="D647" s="5">
        <f t="shared" ca="1" si="42"/>
        <v>0.25346743789327708</v>
      </c>
      <c r="E647">
        <f t="shared" ref="E647:E710" ca="1" si="45">IF(C647^2+D647^2&lt;1, 1, 0)</f>
        <v>1</v>
      </c>
      <c r="F647" s="4">
        <f t="shared" ca="1" si="43"/>
        <v>-0.75873869704870822</v>
      </c>
      <c r="G647" s="5">
        <f t="shared" ca="1" si="44"/>
        <v>0.25346743789327708</v>
      </c>
    </row>
    <row r="648" spans="2:7" x14ac:dyDescent="0.25">
      <c r="B648" s="22">
        <v>643</v>
      </c>
      <c r="C648" s="4">
        <f t="shared" ca="1" si="42"/>
        <v>8.9939642839218958E-2</v>
      </c>
      <c r="D648" s="5">
        <f t="shared" ca="1" si="42"/>
        <v>0.9628206943697093</v>
      </c>
      <c r="E648">
        <f t="shared" ca="1" si="45"/>
        <v>1</v>
      </c>
      <c r="F648" s="4">
        <f t="shared" ca="1" si="43"/>
        <v>8.9939642839218958E-2</v>
      </c>
      <c r="G648" s="5">
        <f t="shared" ca="1" si="44"/>
        <v>0.9628206943697093</v>
      </c>
    </row>
    <row r="649" spans="2:7" x14ac:dyDescent="0.25">
      <c r="B649" s="22">
        <v>644</v>
      </c>
      <c r="C649" s="4">
        <f t="shared" ca="1" si="42"/>
        <v>-0.7556809748923452</v>
      </c>
      <c r="D649" s="5">
        <f t="shared" ca="1" si="42"/>
        <v>-0.90427178149845622</v>
      </c>
      <c r="E649">
        <f t="shared" ca="1" si="45"/>
        <v>0</v>
      </c>
      <c r="F649" s="4">
        <f t="shared" ca="1" si="43"/>
        <v>0</v>
      </c>
      <c r="G649" s="5">
        <f t="shared" ca="1" si="44"/>
        <v>0</v>
      </c>
    </row>
    <row r="650" spans="2:7" x14ac:dyDescent="0.25">
      <c r="B650" s="22">
        <v>645</v>
      </c>
      <c r="C650" s="4">
        <f t="shared" ca="1" si="42"/>
        <v>0.93897169823275028</v>
      </c>
      <c r="D650" s="5">
        <f t="shared" ca="1" si="42"/>
        <v>0.35969398296279653</v>
      </c>
      <c r="E650">
        <f t="shared" ca="1" si="45"/>
        <v>0</v>
      </c>
      <c r="F650" s="4">
        <f t="shared" ca="1" si="43"/>
        <v>0</v>
      </c>
      <c r="G650" s="5">
        <f t="shared" ca="1" si="44"/>
        <v>0</v>
      </c>
    </row>
    <row r="651" spans="2:7" x14ac:dyDescent="0.25">
      <c r="B651" s="22">
        <v>646</v>
      </c>
      <c r="C651" s="4">
        <f t="shared" ca="1" si="42"/>
        <v>-0.9333108893011719</v>
      </c>
      <c r="D651" s="5">
        <f t="shared" ca="1" si="42"/>
        <v>-0.47881744662732428</v>
      </c>
      <c r="E651">
        <f t="shared" ca="1" si="45"/>
        <v>0</v>
      </c>
      <c r="F651" s="4">
        <f t="shared" ca="1" si="43"/>
        <v>0</v>
      </c>
      <c r="G651" s="5">
        <f t="shared" ca="1" si="44"/>
        <v>0</v>
      </c>
    </row>
    <row r="652" spans="2:7" x14ac:dyDescent="0.25">
      <c r="B652" s="22">
        <v>647</v>
      </c>
      <c r="C652" s="4">
        <f t="shared" ca="1" si="42"/>
        <v>-0.79088112345185735</v>
      </c>
      <c r="D652" s="5">
        <f t="shared" ca="1" si="42"/>
        <v>-0.5917884789104717</v>
      </c>
      <c r="E652">
        <f t="shared" ca="1" si="45"/>
        <v>1</v>
      </c>
      <c r="F652" s="4">
        <f t="shared" ca="1" si="43"/>
        <v>-0.79088112345185735</v>
      </c>
      <c r="G652" s="5">
        <f t="shared" ca="1" si="44"/>
        <v>-0.5917884789104717</v>
      </c>
    </row>
    <row r="653" spans="2:7" x14ac:dyDescent="0.25">
      <c r="B653" s="22">
        <v>648</v>
      </c>
      <c r="C653" s="4">
        <f t="shared" ca="1" si="42"/>
        <v>-0.40510621549936476</v>
      </c>
      <c r="D653" s="5">
        <f t="shared" ca="1" si="42"/>
        <v>0.37023639459175905</v>
      </c>
      <c r="E653">
        <f t="shared" ca="1" si="45"/>
        <v>1</v>
      </c>
      <c r="F653" s="4">
        <f t="shared" ca="1" si="43"/>
        <v>-0.40510621549936476</v>
      </c>
      <c r="G653" s="5">
        <f t="shared" ca="1" si="44"/>
        <v>0.37023639459175905</v>
      </c>
    </row>
    <row r="654" spans="2:7" x14ac:dyDescent="0.25">
      <c r="B654" s="22">
        <v>649</v>
      </c>
      <c r="C654" s="4">
        <f t="shared" ca="1" si="42"/>
        <v>-0.76762782715463485</v>
      </c>
      <c r="D654" s="5">
        <f t="shared" ca="1" si="42"/>
        <v>0.36328712999322743</v>
      </c>
      <c r="E654">
        <f t="shared" ca="1" si="45"/>
        <v>1</v>
      </c>
      <c r="F654" s="4">
        <f t="shared" ca="1" si="43"/>
        <v>-0.76762782715463485</v>
      </c>
      <c r="G654" s="5">
        <f t="shared" ca="1" si="44"/>
        <v>0.36328712999322743</v>
      </c>
    </row>
    <row r="655" spans="2:7" x14ac:dyDescent="0.25">
      <c r="B655" s="22">
        <v>650</v>
      </c>
      <c r="C655" s="4">
        <f t="shared" ca="1" si="42"/>
        <v>0.17516930473103298</v>
      </c>
      <c r="D655" s="5">
        <f t="shared" ca="1" si="42"/>
        <v>0.35238380428598903</v>
      </c>
      <c r="E655">
        <f t="shared" ca="1" si="45"/>
        <v>1</v>
      </c>
      <c r="F655" s="4">
        <f t="shared" ca="1" si="43"/>
        <v>0.17516930473103298</v>
      </c>
      <c r="G655" s="5">
        <f t="shared" ca="1" si="44"/>
        <v>0.35238380428598903</v>
      </c>
    </row>
    <row r="656" spans="2:7" x14ac:dyDescent="0.25">
      <c r="B656" s="22">
        <v>651</v>
      </c>
      <c r="C656" s="4">
        <f t="shared" ca="1" si="42"/>
        <v>0.29401960160551432</v>
      </c>
      <c r="D656" s="5">
        <f t="shared" ca="1" si="42"/>
        <v>-0.9708470444373043</v>
      </c>
      <c r="E656">
        <f t="shared" ca="1" si="45"/>
        <v>0</v>
      </c>
      <c r="F656" s="4">
        <f t="shared" ca="1" si="43"/>
        <v>0</v>
      </c>
      <c r="G656" s="5">
        <f t="shared" ca="1" si="44"/>
        <v>0</v>
      </c>
    </row>
    <row r="657" spans="2:7" x14ac:dyDescent="0.25">
      <c r="B657" s="22">
        <v>652</v>
      </c>
      <c r="C657" s="4">
        <f t="shared" ca="1" si="42"/>
        <v>0.21511912980116632</v>
      </c>
      <c r="D657" s="5">
        <f t="shared" ca="1" si="42"/>
        <v>-0.50190971333695811</v>
      </c>
      <c r="E657">
        <f t="shared" ca="1" si="45"/>
        <v>1</v>
      </c>
      <c r="F657" s="4">
        <f t="shared" ca="1" si="43"/>
        <v>0.21511912980116632</v>
      </c>
      <c r="G657" s="5">
        <f t="shared" ca="1" si="44"/>
        <v>-0.50190971333695811</v>
      </c>
    </row>
    <row r="658" spans="2:7" x14ac:dyDescent="0.25">
      <c r="B658" s="22">
        <v>653</v>
      </c>
      <c r="C658" s="4">
        <f t="shared" ca="1" si="42"/>
        <v>2.4687535608518552E-2</v>
      </c>
      <c r="D658" s="5">
        <f t="shared" ca="1" si="42"/>
        <v>-0.31132298829362992</v>
      </c>
      <c r="E658">
        <f t="shared" ca="1" si="45"/>
        <v>1</v>
      </c>
      <c r="F658" s="4">
        <f t="shared" ca="1" si="43"/>
        <v>2.4687535608518552E-2</v>
      </c>
      <c r="G658" s="5">
        <f t="shared" ca="1" si="44"/>
        <v>-0.31132298829362992</v>
      </c>
    </row>
    <row r="659" spans="2:7" x14ac:dyDescent="0.25">
      <c r="B659" s="22">
        <v>654</v>
      </c>
      <c r="C659" s="4">
        <f t="shared" ca="1" si="42"/>
        <v>0.47510007048819292</v>
      </c>
      <c r="D659" s="5">
        <f t="shared" ca="1" si="42"/>
        <v>-0.44411471439204786</v>
      </c>
      <c r="E659">
        <f t="shared" ca="1" si="45"/>
        <v>1</v>
      </c>
      <c r="F659" s="4">
        <f t="shared" ca="1" si="43"/>
        <v>0.47510007048819292</v>
      </c>
      <c r="G659" s="5">
        <f t="shared" ca="1" si="44"/>
        <v>-0.44411471439204786</v>
      </c>
    </row>
    <row r="660" spans="2:7" x14ac:dyDescent="0.25">
      <c r="B660" s="22">
        <v>655</v>
      </c>
      <c r="C660" s="4">
        <f t="shared" ca="1" si="42"/>
        <v>-0.87142735490026024</v>
      </c>
      <c r="D660" s="5">
        <f t="shared" ca="1" si="42"/>
        <v>0.39948340122588233</v>
      </c>
      <c r="E660">
        <f t="shared" ca="1" si="45"/>
        <v>1</v>
      </c>
      <c r="F660" s="4">
        <f t="shared" ca="1" si="43"/>
        <v>-0.87142735490026024</v>
      </c>
      <c r="G660" s="5">
        <f t="shared" ca="1" si="44"/>
        <v>0.39948340122588233</v>
      </c>
    </row>
    <row r="661" spans="2:7" x14ac:dyDescent="0.25">
      <c r="B661" s="22">
        <v>656</v>
      </c>
      <c r="C661" s="4">
        <f t="shared" ca="1" si="42"/>
        <v>-0.45471373214307187</v>
      </c>
      <c r="D661" s="5">
        <f t="shared" ca="1" si="42"/>
        <v>-0.74700590368384834</v>
      </c>
      <c r="E661">
        <f t="shared" ca="1" si="45"/>
        <v>1</v>
      </c>
      <c r="F661" s="4">
        <f t="shared" ca="1" si="43"/>
        <v>-0.45471373214307187</v>
      </c>
      <c r="G661" s="5">
        <f t="shared" ca="1" si="44"/>
        <v>-0.74700590368384834</v>
      </c>
    </row>
    <row r="662" spans="2:7" x14ac:dyDescent="0.25">
      <c r="B662" s="22">
        <v>657</v>
      </c>
      <c r="C662" s="4">
        <f t="shared" ca="1" si="42"/>
        <v>-0.41585683583560074</v>
      </c>
      <c r="D662" s="5">
        <f t="shared" ca="1" si="42"/>
        <v>-0.47080598602835755</v>
      </c>
      <c r="E662">
        <f t="shared" ca="1" si="45"/>
        <v>1</v>
      </c>
      <c r="F662" s="4">
        <f t="shared" ca="1" si="43"/>
        <v>-0.41585683583560074</v>
      </c>
      <c r="G662" s="5">
        <f t="shared" ca="1" si="44"/>
        <v>-0.47080598602835755</v>
      </c>
    </row>
    <row r="663" spans="2:7" x14ac:dyDescent="0.25">
      <c r="B663" s="22">
        <v>658</v>
      </c>
      <c r="C663" s="4">
        <f t="shared" ref="C663:D726" ca="1" si="46">1-2*RAND()</f>
        <v>-0.42168834934360855</v>
      </c>
      <c r="D663" s="5">
        <f t="shared" ca="1" si="46"/>
        <v>0.81060770949040695</v>
      </c>
      <c r="E663">
        <f t="shared" ca="1" si="45"/>
        <v>1</v>
      </c>
      <c r="F663" s="4">
        <f t="shared" ca="1" si="43"/>
        <v>-0.42168834934360855</v>
      </c>
      <c r="G663" s="5">
        <f t="shared" ca="1" si="44"/>
        <v>0.81060770949040695</v>
      </c>
    </row>
    <row r="664" spans="2:7" x14ac:dyDescent="0.25">
      <c r="B664" s="22">
        <v>659</v>
      </c>
      <c r="C664" s="4">
        <f t="shared" ca="1" si="46"/>
        <v>-0.75533605797533854</v>
      </c>
      <c r="D664" s="5">
        <f t="shared" ca="1" si="46"/>
        <v>0.49872149121698373</v>
      </c>
      <c r="E664">
        <f t="shared" ca="1" si="45"/>
        <v>1</v>
      </c>
      <c r="F664" s="4">
        <f t="shared" ca="1" si="43"/>
        <v>-0.75533605797533854</v>
      </c>
      <c r="G664" s="5">
        <f t="shared" ca="1" si="44"/>
        <v>0.49872149121698373</v>
      </c>
    </row>
    <row r="665" spans="2:7" x14ac:dyDescent="0.25">
      <c r="B665" s="22">
        <v>660</v>
      </c>
      <c r="C665" s="4">
        <f t="shared" ca="1" si="46"/>
        <v>0.79801200679999273</v>
      </c>
      <c r="D665" s="5">
        <f t="shared" ca="1" si="46"/>
        <v>-1.6312604411071296E-2</v>
      </c>
      <c r="E665">
        <f t="shared" ca="1" si="45"/>
        <v>1</v>
      </c>
      <c r="F665" s="4">
        <f t="shared" ca="1" si="43"/>
        <v>0.79801200679999273</v>
      </c>
      <c r="G665" s="5">
        <f t="shared" ca="1" si="44"/>
        <v>-1.6312604411071296E-2</v>
      </c>
    </row>
    <row r="666" spans="2:7" x14ac:dyDescent="0.25">
      <c r="B666" s="22">
        <v>661</v>
      </c>
      <c r="C666" s="4">
        <f t="shared" ca="1" si="46"/>
        <v>0.54359707191357698</v>
      </c>
      <c r="D666" s="5">
        <f t="shared" ca="1" si="46"/>
        <v>-0.3967004613950782</v>
      </c>
      <c r="E666">
        <f t="shared" ca="1" si="45"/>
        <v>1</v>
      </c>
      <c r="F666" s="4">
        <f t="shared" ca="1" si="43"/>
        <v>0.54359707191357698</v>
      </c>
      <c r="G666" s="5">
        <f t="shared" ca="1" si="44"/>
        <v>-0.3967004613950782</v>
      </c>
    </row>
    <row r="667" spans="2:7" x14ac:dyDescent="0.25">
      <c r="B667" s="22">
        <v>662</v>
      </c>
      <c r="C667" s="4">
        <f t="shared" ca="1" si="46"/>
        <v>-0.59241437003218289</v>
      </c>
      <c r="D667" s="5">
        <f t="shared" ca="1" si="46"/>
        <v>-0.27591090076545211</v>
      </c>
      <c r="E667">
        <f t="shared" ca="1" si="45"/>
        <v>1</v>
      </c>
      <c r="F667" s="4">
        <f t="shared" ca="1" si="43"/>
        <v>-0.59241437003218289</v>
      </c>
      <c r="G667" s="5">
        <f t="shared" ca="1" si="44"/>
        <v>-0.27591090076545211</v>
      </c>
    </row>
    <row r="668" spans="2:7" x14ac:dyDescent="0.25">
      <c r="B668" s="22">
        <v>663</v>
      </c>
      <c r="C668" s="4">
        <f t="shared" ca="1" si="46"/>
        <v>-0.7204761752307498</v>
      </c>
      <c r="D668" s="5">
        <f t="shared" ca="1" si="46"/>
        <v>-0.76571172622910821</v>
      </c>
      <c r="E668">
        <f t="shared" ca="1" si="45"/>
        <v>0</v>
      </c>
      <c r="F668" s="4">
        <f t="shared" ca="1" si="43"/>
        <v>0</v>
      </c>
      <c r="G668" s="5">
        <f t="shared" ca="1" si="44"/>
        <v>0</v>
      </c>
    </row>
    <row r="669" spans="2:7" x14ac:dyDescent="0.25">
      <c r="B669" s="22">
        <v>664</v>
      </c>
      <c r="C669" s="4">
        <f t="shared" ca="1" si="46"/>
        <v>-0.75834666907024517</v>
      </c>
      <c r="D669" s="5">
        <f t="shared" ca="1" si="46"/>
        <v>-0.41816333046470922</v>
      </c>
      <c r="E669">
        <f t="shared" ca="1" si="45"/>
        <v>1</v>
      </c>
      <c r="F669" s="4">
        <f t="shared" ca="1" si="43"/>
        <v>-0.75834666907024517</v>
      </c>
      <c r="G669" s="5">
        <f t="shared" ca="1" si="44"/>
        <v>-0.41816333046470922</v>
      </c>
    </row>
    <row r="670" spans="2:7" x14ac:dyDescent="0.25">
      <c r="B670" s="22">
        <v>665</v>
      </c>
      <c r="C670" s="4">
        <f t="shared" ca="1" si="46"/>
        <v>0.41996781704093022</v>
      </c>
      <c r="D670" s="5">
        <f t="shared" ca="1" si="46"/>
        <v>0.76305910250539455</v>
      </c>
      <c r="E670">
        <f t="shared" ca="1" si="45"/>
        <v>1</v>
      </c>
      <c r="F670" s="4">
        <f t="shared" ca="1" si="43"/>
        <v>0.41996781704093022</v>
      </c>
      <c r="G670" s="5">
        <f t="shared" ca="1" si="44"/>
        <v>0.76305910250539455</v>
      </c>
    </row>
    <row r="671" spans="2:7" x14ac:dyDescent="0.25">
      <c r="B671" s="22">
        <v>666</v>
      </c>
      <c r="C671" s="4">
        <f t="shared" ca="1" si="46"/>
        <v>-0.65533584027119574</v>
      </c>
      <c r="D671" s="5">
        <f t="shared" ca="1" si="46"/>
        <v>0.86465978373580943</v>
      </c>
      <c r="E671">
        <f t="shared" ca="1" si="45"/>
        <v>0</v>
      </c>
      <c r="F671" s="4">
        <f t="shared" ca="1" si="43"/>
        <v>0</v>
      </c>
      <c r="G671" s="5">
        <f t="shared" ca="1" si="44"/>
        <v>0</v>
      </c>
    </row>
    <row r="672" spans="2:7" x14ac:dyDescent="0.25">
      <c r="B672" s="22">
        <v>667</v>
      </c>
      <c r="C672" s="4">
        <f t="shared" ca="1" si="46"/>
        <v>1.1108772496268848E-3</v>
      </c>
      <c r="D672" s="5">
        <f t="shared" ca="1" si="46"/>
        <v>0.43647471238842828</v>
      </c>
      <c r="E672">
        <f t="shared" ca="1" si="45"/>
        <v>1</v>
      </c>
      <c r="F672" s="4">
        <f t="shared" ca="1" si="43"/>
        <v>1.1108772496268848E-3</v>
      </c>
      <c r="G672" s="5">
        <f t="shared" ca="1" si="44"/>
        <v>0.43647471238842828</v>
      </c>
    </row>
    <row r="673" spans="2:7" x14ac:dyDescent="0.25">
      <c r="B673" s="22">
        <v>668</v>
      </c>
      <c r="C673" s="4">
        <f t="shared" ca="1" si="46"/>
        <v>0.19702879465867174</v>
      </c>
      <c r="D673" s="5">
        <f t="shared" ca="1" si="46"/>
        <v>-0.96287046014699018</v>
      </c>
      <c r="E673">
        <f t="shared" ca="1" si="45"/>
        <v>1</v>
      </c>
      <c r="F673" s="4">
        <f t="shared" ca="1" si="43"/>
        <v>0.19702879465867174</v>
      </c>
      <c r="G673" s="5">
        <f t="shared" ca="1" si="44"/>
        <v>-0.96287046014699018</v>
      </c>
    </row>
    <row r="674" spans="2:7" x14ac:dyDescent="0.25">
      <c r="B674" s="22">
        <v>669</v>
      </c>
      <c r="C674" s="4">
        <f t="shared" ca="1" si="46"/>
        <v>0.28010558829964016</v>
      </c>
      <c r="D674" s="5">
        <f t="shared" ca="1" si="46"/>
        <v>0.28393922973852503</v>
      </c>
      <c r="E674">
        <f t="shared" ca="1" si="45"/>
        <v>1</v>
      </c>
      <c r="F674" s="4">
        <f t="shared" ca="1" si="43"/>
        <v>0.28010558829964016</v>
      </c>
      <c r="G674" s="5">
        <f t="shared" ca="1" si="44"/>
        <v>0.28393922973852503</v>
      </c>
    </row>
    <row r="675" spans="2:7" x14ac:dyDescent="0.25">
      <c r="B675" s="22">
        <v>670</v>
      </c>
      <c r="C675" s="4">
        <f t="shared" ca="1" si="46"/>
        <v>-8.6921330530254748E-2</v>
      </c>
      <c r="D675" s="5">
        <f t="shared" ca="1" si="46"/>
        <v>0.57573353980685193</v>
      </c>
      <c r="E675">
        <f t="shared" ca="1" si="45"/>
        <v>1</v>
      </c>
      <c r="F675" s="4">
        <f t="shared" ca="1" si="43"/>
        <v>-8.6921330530254748E-2</v>
      </c>
      <c r="G675" s="5">
        <f t="shared" ca="1" si="44"/>
        <v>0.57573353980685193</v>
      </c>
    </row>
    <row r="676" spans="2:7" x14ac:dyDescent="0.25">
      <c r="B676" s="22">
        <v>671</v>
      </c>
      <c r="C676" s="4">
        <f t="shared" ca="1" si="46"/>
        <v>0.17841826163194607</v>
      </c>
      <c r="D676" s="5">
        <f t="shared" ca="1" si="46"/>
        <v>0.84819050971474996</v>
      </c>
      <c r="E676">
        <f t="shared" ca="1" si="45"/>
        <v>1</v>
      </c>
      <c r="F676" s="4">
        <f t="shared" ca="1" si="43"/>
        <v>0.17841826163194607</v>
      </c>
      <c r="G676" s="5">
        <f t="shared" ca="1" si="44"/>
        <v>0.84819050971474996</v>
      </c>
    </row>
    <row r="677" spans="2:7" x14ac:dyDescent="0.25">
      <c r="B677" s="22">
        <v>672</v>
      </c>
      <c r="C677" s="4">
        <f t="shared" ca="1" si="46"/>
        <v>0.7500130988319853</v>
      </c>
      <c r="D677" s="5">
        <f t="shared" ca="1" si="46"/>
        <v>-0.49558959564873217</v>
      </c>
      <c r="E677">
        <f t="shared" ca="1" si="45"/>
        <v>1</v>
      </c>
      <c r="F677" s="4">
        <f t="shared" ca="1" si="43"/>
        <v>0.7500130988319853</v>
      </c>
      <c r="G677" s="5">
        <f t="shared" ca="1" si="44"/>
        <v>-0.49558959564873217</v>
      </c>
    </row>
    <row r="678" spans="2:7" x14ac:dyDescent="0.25">
      <c r="B678" s="22">
        <v>673</v>
      </c>
      <c r="C678" s="4">
        <f t="shared" ca="1" si="46"/>
        <v>-0.25365662732673133</v>
      </c>
      <c r="D678" s="5">
        <f t="shared" ca="1" si="46"/>
        <v>-0.1684597570928601</v>
      </c>
      <c r="E678">
        <f t="shared" ca="1" si="45"/>
        <v>1</v>
      </c>
      <c r="F678" s="4">
        <f t="shared" ca="1" si="43"/>
        <v>-0.25365662732673133</v>
      </c>
      <c r="G678" s="5">
        <f t="shared" ca="1" si="44"/>
        <v>-0.1684597570928601</v>
      </c>
    </row>
    <row r="679" spans="2:7" x14ac:dyDescent="0.25">
      <c r="B679" s="22">
        <v>674</v>
      </c>
      <c r="C679" s="4">
        <f t="shared" ca="1" si="46"/>
        <v>0.65190589648980146</v>
      </c>
      <c r="D679" s="5">
        <f t="shared" ca="1" si="46"/>
        <v>0.87973789819754766</v>
      </c>
      <c r="E679">
        <f t="shared" ca="1" si="45"/>
        <v>0</v>
      </c>
      <c r="F679" s="4">
        <f t="shared" ca="1" si="43"/>
        <v>0</v>
      </c>
      <c r="G679" s="5">
        <f t="shared" ca="1" si="44"/>
        <v>0</v>
      </c>
    </row>
    <row r="680" spans="2:7" x14ac:dyDescent="0.25">
      <c r="B680" s="22">
        <v>675</v>
      </c>
      <c r="C680" s="4">
        <f t="shared" ca="1" si="46"/>
        <v>-1.8340215403594318E-2</v>
      </c>
      <c r="D680" s="5">
        <f t="shared" ca="1" si="46"/>
        <v>-0.14830367893642915</v>
      </c>
      <c r="E680">
        <f t="shared" ca="1" si="45"/>
        <v>1</v>
      </c>
      <c r="F680" s="4">
        <f t="shared" ca="1" si="43"/>
        <v>-1.8340215403594318E-2</v>
      </c>
      <c r="G680" s="5">
        <f t="shared" ca="1" si="44"/>
        <v>-0.14830367893642915</v>
      </c>
    </row>
    <row r="681" spans="2:7" x14ac:dyDescent="0.25">
      <c r="B681" s="22">
        <v>676</v>
      </c>
      <c r="C681" s="4">
        <f t="shared" ca="1" si="46"/>
        <v>0.90616983759828584</v>
      </c>
      <c r="D681" s="5">
        <f t="shared" ca="1" si="46"/>
        <v>-1.5862140795983359E-2</v>
      </c>
      <c r="E681">
        <f t="shared" ca="1" si="45"/>
        <v>1</v>
      </c>
      <c r="F681" s="4">
        <f t="shared" ca="1" si="43"/>
        <v>0.90616983759828584</v>
      </c>
      <c r="G681" s="5">
        <f t="shared" ca="1" si="44"/>
        <v>-1.5862140795983359E-2</v>
      </c>
    </row>
    <row r="682" spans="2:7" x14ac:dyDescent="0.25">
      <c r="B682" s="22">
        <v>677</v>
      </c>
      <c r="C682" s="4">
        <f t="shared" ca="1" si="46"/>
        <v>0.98288835627807458</v>
      </c>
      <c r="D682" s="5">
        <f t="shared" ca="1" si="46"/>
        <v>0.62630250726353953</v>
      </c>
      <c r="E682">
        <f t="shared" ca="1" si="45"/>
        <v>0</v>
      </c>
      <c r="F682" s="4">
        <f t="shared" ca="1" si="43"/>
        <v>0</v>
      </c>
      <c r="G682" s="5">
        <f t="shared" ca="1" si="44"/>
        <v>0</v>
      </c>
    </row>
    <row r="683" spans="2:7" x14ac:dyDescent="0.25">
      <c r="B683" s="22">
        <v>678</v>
      </c>
      <c r="C683" s="4">
        <f t="shared" ca="1" si="46"/>
        <v>0.42634687667978488</v>
      </c>
      <c r="D683" s="5">
        <f t="shared" ca="1" si="46"/>
        <v>0.4849356846053865</v>
      </c>
      <c r="E683">
        <f t="shared" ca="1" si="45"/>
        <v>1</v>
      </c>
      <c r="F683" s="4">
        <f t="shared" ca="1" si="43"/>
        <v>0.42634687667978488</v>
      </c>
      <c r="G683" s="5">
        <f t="shared" ca="1" si="44"/>
        <v>0.4849356846053865</v>
      </c>
    </row>
    <row r="684" spans="2:7" x14ac:dyDescent="0.25">
      <c r="B684" s="22">
        <v>679</v>
      </c>
      <c r="C684" s="4">
        <f t="shared" ca="1" si="46"/>
        <v>0.18935040534891434</v>
      </c>
      <c r="D684" s="5">
        <f t="shared" ca="1" si="46"/>
        <v>0.85571096793030677</v>
      </c>
      <c r="E684">
        <f t="shared" ca="1" si="45"/>
        <v>1</v>
      </c>
      <c r="F684" s="4">
        <f t="shared" ca="1" si="43"/>
        <v>0.18935040534891434</v>
      </c>
      <c r="G684" s="5">
        <f t="shared" ca="1" si="44"/>
        <v>0.85571096793030677</v>
      </c>
    </row>
    <row r="685" spans="2:7" x14ac:dyDescent="0.25">
      <c r="B685" s="22">
        <v>680</v>
      </c>
      <c r="C685" s="4">
        <f t="shared" ca="1" si="46"/>
        <v>0.41041776888268844</v>
      </c>
      <c r="D685" s="5">
        <f t="shared" ca="1" si="46"/>
        <v>0.36519682452564894</v>
      </c>
      <c r="E685">
        <f t="shared" ca="1" si="45"/>
        <v>1</v>
      </c>
      <c r="F685" s="4">
        <f t="shared" ca="1" si="43"/>
        <v>0.41041776888268844</v>
      </c>
      <c r="G685" s="5">
        <f t="shared" ca="1" si="44"/>
        <v>0.36519682452564894</v>
      </c>
    </row>
    <row r="686" spans="2:7" x14ac:dyDescent="0.25">
      <c r="B686" s="22">
        <v>681</v>
      </c>
      <c r="C686" s="4">
        <f t="shared" ca="1" si="46"/>
        <v>-2.2262420475533062E-2</v>
      </c>
      <c r="D686" s="5">
        <f t="shared" ca="1" si="46"/>
        <v>-0.44848333117763084</v>
      </c>
      <c r="E686">
        <f t="shared" ca="1" si="45"/>
        <v>1</v>
      </c>
      <c r="F686" s="4">
        <f t="shared" ca="1" si="43"/>
        <v>-2.2262420475533062E-2</v>
      </c>
      <c r="G686" s="5">
        <f t="shared" ca="1" si="44"/>
        <v>-0.44848333117763084</v>
      </c>
    </row>
    <row r="687" spans="2:7" x14ac:dyDescent="0.25">
      <c r="B687" s="22">
        <v>682</v>
      </c>
      <c r="C687" s="4">
        <f t="shared" ca="1" si="46"/>
        <v>0.74330119452441057</v>
      </c>
      <c r="D687" s="5">
        <f t="shared" ca="1" si="46"/>
        <v>0.89909961160850949</v>
      </c>
      <c r="E687">
        <f t="shared" ca="1" si="45"/>
        <v>0</v>
      </c>
      <c r="F687" s="4">
        <f t="shared" ca="1" si="43"/>
        <v>0</v>
      </c>
      <c r="G687" s="5">
        <f t="shared" ca="1" si="44"/>
        <v>0</v>
      </c>
    </row>
    <row r="688" spans="2:7" x14ac:dyDescent="0.25">
      <c r="B688" s="22">
        <v>683</v>
      </c>
      <c r="C688" s="4">
        <f t="shared" ca="1" si="46"/>
        <v>-0.71672531188355126</v>
      </c>
      <c r="D688" s="5">
        <f t="shared" ca="1" si="46"/>
        <v>-4.5851682444697284E-2</v>
      </c>
      <c r="E688">
        <f t="shared" ca="1" si="45"/>
        <v>1</v>
      </c>
      <c r="F688" s="4">
        <f t="shared" ca="1" si="43"/>
        <v>-0.71672531188355126</v>
      </c>
      <c r="G688" s="5">
        <f t="shared" ca="1" si="44"/>
        <v>-4.5851682444697284E-2</v>
      </c>
    </row>
    <row r="689" spans="2:7" x14ac:dyDescent="0.25">
      <c r="B689" s="22">
        <v>684</v>
      </c>
      <c r="C689" s="4">
        <f t="shared" ca="1" si="46"/>
        <v>-6.7729056392674458E-2</v>
      </c>
      <c r="D689" s="5">
        <f t="shared" ca="1" si="46"/>
        <v>-0.23547611690923675</v>
      </c>
      <c r="E689">
        <f t="shared" ca="1" si="45"/>
        <v>1</v>
      </c>
      <c r="F689" s="4">
        <f t="shared" ca="1" si="43"/>
        <v>-6.7729056392674458E-2</v>
      </c>
      <c r="G689" s="5">
        <f t="shared" ca="1" si="44"/>
        <v>-0.23547611690923675</v>
      </c>
    </row>
    <row r="690" spans="2:7" x14ac:dyDescent="0.25">
      <c r="B690" s="22">
        <v>685</v>
      </c>
      <c r="C690" s="4">
        <f t="shared" ca="1" si="46"/>
        <v>0.43061683340193979</v>
      </c>
      <c r="D690" s="5">
        <f t="shared" ca="1" si="46"/>
        <v>0.48090467528248615</v>
      </c>
      <c r="E690">
        <f t="shared" ca="1" si="45"/>
        <v>1</v>
      </c>
      <c r="F690" s="4">
        <f t="shared" ca="1" si="43"/>
        <v>0.43061683340193979</v>
      </c>
      <c r="G690" s="5">
        <f t="shared" ca="1" si="44"/>
        <v>0.48090467528248615</v>
      </c>
    </row>
    <row r="691" spans="2:7" x14ac:dyDescent="0.25">
      <c r="B691" s="22">
        <v>686</v>
      </c>
      <c r="C691" s="4">
        <f t="shared" ca="1" si="46"/>
        <v>0.18922947465484596</v>
      </c>
      <c r="D691" s="5">
        <f t="shared" ca="1" si="46"/>
        <v>0.39051066677788215</v>
      </c>
      <c r="E691">
        <f t="shared" ca="1" si="45"/>
        <v>1</v>
      </c>
      <c r="F691" s="4">
        <f t="shared" ca="1" si="43"/>
        <v>0.18922947465484596</v>
      </c>
      <c r="G691" s="5">
        <f t="shared" ca="1" si="44"/>
        <v>0.39051066677788215</v>
      </c>
    </row>
    <row r="692" spans="2:7" x14ac:dyDescent="0.25">
      <c r="B692" s="22">
        <v>687</v>
      </c>
      <c r="C692" s="4">
        <f t="shared" ca="1" si="46"/>
        <v>-0.8923708759662965</v>
      </c>
      <c r="D692" s="5">
        <f t="shared" ca="1" si="46"/>
        <v>0.14150391562693843</v>
      </c>
      <c r="E692">
        <f t="shared" ca="1" si="45"/>
        <v>1</v>
      </c>
      <c r="F692" s="4">
        <f t="shared" ca="1" si="43"/>
        <v>-0.8923708759662965</v>
      </c>
      <c r="G692" s="5">
        <f t="shared" ca="1" si="44"/>
        <v>0.14150391562693843</v>
      </c>
    </row>
    <row r="693" spans="2:7" x14ac:dyDescent="0.25">
      <c r="B693" s="22">
        <v>688</v>
      </c>
      <c r="C693" s="4">
        <f t="shared" ca="1" si="46"/>
        <v>0.10033961789820744</v>
      </c>
      <c r="D693" s="5">
        <f t="shared" ca="1" si="46"/>
        <v>-9.7248685695230153E-2</v>
      </c>
      <c r="E693">
        <f t="shared" ca="1" si="45"/>
        <v>1</v>
      </c>
      <c r="F693" s="4">
        <f t="shared" ca="1" si="43"/>
        <v>0.10033961789820744</v>
      </c>
      <c r="G693" s="5">
        <f t="shared" ca="1" si="44"/>
        <v>-9.7248685695230153E-2</v>
      </c>
    </row>
    <row r="694" spans="2:7" x14ac:dyDescent="0.25">
      <c r="B694" s="22">
        <v>689</v>
      </c>
      <c r="C694" s="4">
        <f t="shared" ca="1" si="46"/>
        <v>0.66277210059236635</v>
      </c>
      <c r="D694" s="5">
        <f t="shared" ca="1" si="46"/>
        <v>-0.85579550926162584</v>
      </c>
      <c r="E694">
        <f t="shared" ca="1" si="45"/>
        <v>0</v>
      </c>
      <c r="F694" s="4">
        <f t="shared" ca="1" si="43"/>
        <v>0</v>
      </c>
      <c r="G694" s="5">
        <f t="shared" ca="1" si="44"/>
        <v>0</v>
      </c>
    </row>
    <row r="695" spans="2:7" x14ac:dyDescent="0.25">
      <c r="B695" s="22">
        <v>690</v>
      </c>
      <c r="C695" s="4">
        <f t="shared" ca="1" si="46"/>
        <v>-0.87309560970609934</v>
      </c>
      <c r="D695" s="5">
        <f t="shared" ca="1" si="46"/>
        <v>-0.48008148042005883</v>
      </c>
      <c r="E695">
        <f t="shared" ca="1" si="45"/>
        <v>1</v>
      </c>
      <c r="F695" s="4">
        <f t="shared" ca="1" si="43"/>
        <v>-0.87309560970609934</v>
      </c>
      <c r="G695" s="5">
        <f t="shared" ca="1" si="44"/>
        <v>-0.48008148042005883</v>
      </c>
    </row>
    <row r="696" spans="2:7" x14ac:dyDescent="0.25">
      <c r="B696" s="22">
        <v>691</v>
      </c>
      <c r="C696" s="4">
        <f t="shared" ca="1" si="46"/>
        <v>0.77335583686732168</v>
      </c>
      <c r="D696" s="5">
        <f t="shared" ca="1" si="46"/>
        <v>-0.23461332815276936</v>
      </c>
      <c r="E696">
        <f t="shared" ca="1" si="45"/>
        <v>1</v>
      </c>
      <c r="F696" s="4">
        <f t="shared" ca="1" si="43"/>
        <v>0.77335583686732168</v>
      </c>
      <c r="G696" s="5">
        <f t="shared" ca="1" si="44"/>
        <v>-0.23461332815276936</v>
      </c>
    </row>
    <row r="697" spans="2:7" x14ac:dyDescent="0.25">
      <c r="B697" s="22">
        <v>692</v>
      </c>
      <c r="C697" s="4">
        <f t="shared" ca="1" si="46"/>
        <v>0.11684601712118758</v>
      </c>
      <c r="D697" s="5">
        <f t="shared" ca="1" si="46"/>
        <v>0.2000453292205373</v>
      </c>
      <c r="E697">
        <f t="shared" ca="1" si="45"/>
        <v>1</v>
      </c>
      <c r="F697" s="4">
        <f t="shared" ca="1" si="43"/>
        <v>0.11684601712118758</v>
      </c>
      <c r="G697" s="5">
        <f t="shared" ca="1" si="44"/>
        <v>0.2000453292205373</v>
      </c>
    </row>
    <row r="698" spans="2:7" x14ac:dyDescent="0.25">
      <c r="B698" s="22">
        <v>693</v>
      </c>
      <c r="C698" s="4">
        <f t="shared" ca="1" si="46"/>
        <v>-0.12261761513355496</v>
      </c>
      <c r="D698" s="5">
        <f t="shared" ca="1" si="46"/>
        <v>2.2443350013902519E-2</v>
      </c>
      <c r="E698">
        <f t="shared" ca="1" si="45"/>
        <v>1</v>
      </c>
      <c r="F698" s="4">
        <f t="shared" ca="1" si="43"/>
        <v>-0.12261761513355496</v>
      </c>
      <c r="G698" s="5">
        <f t="shared" ca="1" si="44"/>
        <v>2.2443350013902519E-2</v>
      </c>
    </row>
    <row r="699" spans="2:7" x14ac:dyDescent="0.25">
      <c r="B699" s="22">
        <v>694</v>
      </c>
      <c r="C699" s="4">
        <f t="shared" ca="1" si="46"/>
        <v>-0.67318534374706074</v>
      </c>
      <c r="D699" s="5">
        <f t="shared" ca="1" si="46"/>
        <v>-0.21605617009434086</v>
      </c>
      <c r="E699">
        <f t="shared" ca="1" si="45"/>
        <v>1</v>
      </c>
      <c r="F699" s="4">
        <f t="shared" ca="1" si="43"/>
        <v>-0.67318534374706074</v>
      </c>
      <c r="G699" s="5">
        <f t="shared" ca="1" si="44"/>
        <v>-0.21605617009434086</v>
      </c>
    </row>
    <row r="700" spans="2:7" x14ac:dyDescent="0.25">
      <c r="B700" s="22">
        <v>695</v>
      </c>
      <c r="C700" s="4">
        <f t="shared" ca="1" si="46"/>
        <v>-9.6914242078022461E-2</v>
      </c>
      <c r="D700" s="5">
        <f t="shared" ca="1" si="46"/>
        <v>-0.80387103421688333</v>
      </c>
      <c r="E700">
        <f t="shared" ca="1" si="45"/>
        <v>1</v>
      </c>
      <c r="F700" s="4">
        <f t="shared" ca="1" si="43"/>
        <v>-9.6914242078022461E-2</v>
      </c>
      <c r="G700" s="5">
        <f t="shared" ca="1" si="44"/>
        <v>-0.80387103421688333</v>
      </c>
    </row>
    <row r="701" spans="2:7" x14ac:dyDescent="0.25">
      <c r="B701" s="22">
        <v>696</v>
      </c>
      <c r="C701" s="4">
        <f t="shared" ca="1" si="46"/>
        <v>0.496545992674019</v>
      </c>
      <c r="D701" s="5">
        <f t="shared" ca="1" si="46"/>
        <v>-0.31380448940876415</v>
      </c>
      <c r="E701">
        <f t="shared" ca="1" si="45"/>
        <v>1</v>
      </c>
      <c r="F701" s="4">
        <f t="shared" ca="1" si="43"/>
        <v>0.496545992674019</v>
      </c>
      <c r="G701" s="5">
        <f t="shared" ca="1" si="44"/>
        <v>-0.31380448940876415</v>
      </c>
    </row>
    <row r="702" spans="2:7" x14ac:dyDescent="0.25">
      <c r="B702" s="22">
        <v>697</v>
      </c>
      <c r="C702" s="4">
        <f t="shared" ca="1" si="46"/>
        <v>0.25672688191934712</v>
      </c>
      <c r="D702" s="5">
        <f t="shared" ca="1" si="46"/>
        <v>0.31741713324413601</v>
      </c>
      <c r="E702">
        <f t="shared" ca="1" si="45"/>
        <v>1</v>
      </c>
      <c r="F702" s="4">
        <f t="shared" ca="1" si="43"/>
        <v>0.25672688191934712</v>
      </c>
      <c r="G702" s="5">
        <f t="shared" ca="1" si="44"/>
        <v>0.31741713324413601</v>
      </c>
    </row>
    <row r="703" spans="2:7" x14ac:dyDescent="0.25">
      <c r="B703" s="22">
        <v>698</v>
      </c>
      <c r="C703" s="4">
        <f t="shared" ca="1" si="46"/>
        <v>-0.16810358402413206</v>
      </c>
      <c r="D703" s="5">
        <f t="shared" ca="1" si="46"/>
        <v>-0.74988344840295329</v>
      </c>
      <c r="E703">
        <f t="shared" ca="1" si="45"/>
        <v>1</v>
      </c>
      <c r="F703" s="4">
        <f t="shared" ca="1" si="43"/>
        <v>-0.16810358402413206</v>
      </c>
      <c r="G703" s="5">
        <f t="shared" ca="1" si="44"/>
        <v>-0.74988344840295329</v>
      </c>
    </row>
    <row r="704" spans="2:7" x14ac:dyDescent="0.25">
      <c r="B704" s="22">
        <v>699</v>
      </c>
      <c r="C704" s="4">
        <f t="shared" ca="1" si="46"/>
        <v>-0.19163412471333574</v>
      </c>
      <c r="D704" s="5">
        <f t="shared" ca="1" si="46"/>
        <v>0.43240366065684577</v>
      </c>
      <c r="E704">
        <f t="shared" ca="1" si="45"/>
        <v>1</v>
      </c>
      <c r="F704" s="4">
        <f t="shared" ca="1" si="43"/>
        <v>-0.19163412471333574</v>
      </c>
      <c r="G704" s="5">
        <f t="shared" ca="1" si="44"/>
        <v>0.43240366065684577</v>
      </c>
    </row>
    <row r="705" spans="2:7" x14ac:dyDescent="0.25">
      <c r="B705" s="22">
        <v>700</v>
      </c>
      <c r="C705" s="4">
        <f t="shared" ca="1" si="46"/>
        <v>-0.96414764505988049</v>
      </c>
      <c r="D705" s="5">
        <f t="shared" ca="1" si="46"/>
        <v>0.26957593047614647</v>
      </c>
      <c r="E705">
        <f t="shared" ca="1" si="45"/>
        <v>0</v>
      </c>
      <c r="F705" s="4">
        <f t="shared" ca="1" si="43"/>
        <v>0</v>
      </c>
      <c r="G705" s="5">
        <f t="shared" ca="1" si="44"/>
        <v>0</v>
      </c>
    </row>
    <row r="706" spans="2:7" x14ac:dyDescent="0.25">
      <c r="B706" s="22">
        <v>701</v>
      </c>
      <c r="C706" s="4">
        <f t="shared" ca="1" si="46"/>
        <v>-0.66769571446988363</v>
      </c>
      <c r="D706" s="5">
        <f t="shared" ca="1" si="46"/>
        <v>-0.14307603332190544</v>
      </c>
      <c r="E706">
        <f t="shared" ca="1" si="45"/>
        <v>1</v>
      </c>
      <c r="F706" s="4">
        <f t="shared" ca="1" si="43"/>
        <v>-0.66769571446988363</v>
      </c>
      <c r="G706" s="5">
        <f t="shared" ca="1" si="44"/>
        <v>-0.14307603332190544</v>
      </c>
    </row>
    <row r="707" spans="2:7" x14ac:dyDescent="0.25">
      <c r="B707" s="22">
        <v>702</v>
      </c>
      <c r="C707" s="4">
        <f t="shared" ca="1" si="46"/>
        <v>-0.40250618991290099</v>
      </c>
      <c r="D707" s="5">
        <f t="shared" ca="1" si="46"/>
        <v>0.60467855958032546</v>
      </c>
      <c r="E707">
        <f t="shared" ca="1" si="45"/>
        <v>1</v>
      </c>
      <c r="F707" s="4">
        <f t="shared" ca="1" si="43"/>
        <v>-0.40250618991290099</v>
      </c>
      <c r="G707" s="5">
        <f t="shared" ca="1" si="44"/>
        <v>0.60467855958032546</v>
      </c>
    </row>
    <row r="708" spans="2:7" x14ac:dyDescent="0.25">
      <c r="B708" s="22">
        <v>703</v>
      </c>
      <c r="C708" s="4">
        <f t="shared" ca="1" si="46"/>
        <v>-0.98195907613514577</v>
      </c>
      <c r="D708" s="5">
        <f t="shared" ca="1" si="46"/>
        <v>0.57687890627104554</v>
      </c>
      <c r="E708">
        <f t="shared" ca="1" si="45"/>
        <v>0</v>
      </c>
      <c r="F708" s="4">
        <f t="shared" ca="1" si="43"/>
        <v>0</v>
      </c>
      <c r="G708" s="5">
        <f t="shared" ca="1" si="44"/>
        <v>0</v>
      </c>
    </row>
    <row r="709" spans="2:7" x14ac:dyDescent="0.25">
      <c r="B709" s="22">
        <v>704</v>
      </c>
      <c r="C709" s="4">
        <f t="shared" ca="1" si="46"/>
        <v>0.88999381050624726</v>
      </c>
      <c r="D709" s="5">
        <f t="shared" ca="1" si="46"/>
        <v>-0.3205774626897544</v>
      </c>
      <c r="E709">
        <f t="shared" ca="1" si="45"/>
        <v>1</v>
      </c>
      <c r="F709" s="4">
        <f t="shared" ca="1" si="43"/>
        <v>0.88999381050624726</v>
      </c>
      <c r="G709" s="5">
        <f t="shared" ca="1" si="44"/>
        <v>-0.3205774626897544</v>
      </c>
    </row>
    <row r="710" spans="2:7" x14ac:dyDescent="0.25">
      <c r="B710" s="22">
        <v>705</v>
      </c>
      <c r="C710" s="4">
        <f t="shared" ca="1" si="46"/>
        <v>0.86940099245591251</v>
      </c>
      <c r="D710" s="5">
        <f t="shared" ca="1" si="46"/>
        <v>-0.2241506269008553</v>
      </c>
      <c r="E710">
        <f t="shared" ca="1" si="45"/>
        <v>1</v>
      </c>
      <c r="F710" s="4">
        <f t="shared" ref="F710:F773" ca="1" si="47">IF((C710^2+D710^2)&lt;1, C710, 0)</f>
        <v>0.86940099245591251</v>
      </c>
      <c r="G710" s="5">
        <f t="shared" ref="G710:G773" ca="1" si="48">IF((C710^2+D710^2)&lt;1, D710, 0)</f>
        <v>-0.2241506269008553</v>
      </c>
    </row>
    <row r="711" spans="2:7" x14ac:dyDescent="0.25">
      <c r="B711" s="22">
        <v>706</v>
      </c>
      <c r="C711" s="4">
        <f t="shared" ca="1" si="46"/>
        <v>-0.56018967414535226</v>
      </c>
      <c r="D711" s="5">
        <f t="shared" ca="1" si="46"/>
        <v>0.37511515391863215</v>
      </c>
      <c r="E711">
        <f t="shared" ref="E711:E774" ca="1" si="49">IF(C711^2+D711^2&lt;1, 1, 0)</f>
        <v>1</v>
      </c>
      <c r="F711" s="4">
        <f t="shared" ca="1" si="47"/>
        <v>-0.56018967414535226</v>
      </c>
      <c r="G711" s="5">
        <f t="shared" ca="1" si="48"/>
        <v>0.37511515391863215</v>
      </c>
    </row>
    <row r="712" spans="2:7" x14ac:dyDescent="0.25">
      <c r="B712" s="22">
        <v>707</v>
      </c>
      <c r="C712" s="4">
        <f t="shared" ca="1" si="46"/>
        <v>0.45279518957994469</v>
      </c>
      <c r="D712" s="5">
        <f t="shared" ca="1" si="46"/>
        <v>0.90716280002505556</v>
      </c>
      <c r="E712">
        <f t="shared" ca="1" si="49"/>
        <v>0</v>
      </c>
      <c r="F712" s="4">
        <f t="shared" ca="1" si="47"/>
        <v>0</v>
      </c>
      <c r="G712" s="5">
        <f t="shared" ca="1" si="48"/>
        <v>0</v>
      </c>
    </row>
    <row r="713" spans="2:7" x14ac:dyDescent="0.25">
      <c r="B713" s="22">
        <v>708</v>
      </c>
      <c r="C713" s="4">
        <f t="shared" ca="1" si="46"/>
        <v>-0.28843295213721754</v>
      </c>
      <c r="D713" s="5">
        <f t="shared" ca="1" si="46"/>
        <v>0.92102736778855121</v>
      </c>
      <c r="E713">
        <f t="shared" ca="1" si="49"/>
        <v>1</v>
      </c>
      <c r="F713" s="4">
        <f t="shared" ca="1" si="47"/>
        <v>-0.28843295213721754</v>
      </c>
      <c r="G713" s="5">
        <f t="shared" ca="1" si="48"/>
        <v>0.92102736778855121</v>
      </c>
    </row>
    <row r="714" spans="2:7" x14ac:dyDescent="0.25">
      <c r="B714" s="22">
        <v>709</v>
      </c>
      <c r="C714" s="4">
        <f t="shared" ca="1" si="46"/>
        <v>0.36008181682845009</v>
      </c>
      <c r="D714" s="5">
        <f t="shared" ca="1" si="46"/>
        <v>-0.41493849775646363</v>
      </c>
      <c r="E714">
        <f t="shared" ca="1" si="49"/>
        <v>1</v>
      </c>
      <c r="F714" s="4">
        <f t="shared" ca="1" si="47"/>
        <v>0.36008181682845009</v>
      </c>
      <c r="G714" s="5">
        <f t="shared" ca="1" si="48"/>
        <v>-0.41493849775646363</v>
      </c>
    </row>
    <row r="715" spans="2:7" x14ac:dyDescent="0.25">
      <c r="B715" s="22">
        <v>710</v>
      </c>
      <c r="C715" s="4">
        <f t="shared" ca="1" si="46"/>
        <v>0.50956998943268994</v>
      </c>
      <c r="D715" s="5">
        <f t="shared" ca="1" si="46"/>
        <v>0.86893007265528199</v>
      </c>
      <c r="E715">
        <f t="shared" ca="1" si="49"/>
        <v>0</v>
      </c>
      <c r="F715" s="4">
        <f t="shared" ca="1" si="47"/>
        <v>0</v>
      </c>
      <c r="G715" s="5">
        <f t="shared" ca="1" si="48"/>
        <v>0</v>
      </c>
    </row>
    <row r="716" spans="2:7" x14ac:dyDescent="0.25">
      <c r="B716" s="22">
        <v>711</v>
      </c>
      <c r="C716" s="4">
        <f t="shared" ca="1" si="46"/>
        <v>0.30272646062901409</v>
      </c>
      <c r="D716" s="5">
        <f t="shared" ca="1" si="46"/>
        <v>-0.14718044653386375</v>
      </c>
      <c r="E716">
        <f t="shared" ca="1" si="49"/>
        <v>1</v>
      </c>
      <c r="F716" s="4">
        <f t="shared" ca="1" si="47"/>
        <v>0.30272646062901409</v>
      </c>
      <c r="G716" s="5">
        <f t="shared" ca="1" si="48"/>
        <v>-0.14718044653386375</v>
      </c>
    </row>
    <row r="717" spans="2:7" x14ac:dyDescent="0.25">
      <c r="B717" s="22">
        <v>712</v>
      </c>
      <c r="C717" s="4">
        <f t="shared" ca="1" si="46"/>
        <v>0.96604175707879003</v>
      </c>
      <c r="D717" s="5">
        <f t="shared" ca="1" si="46"/>
        <v>6.0207207074620683E-3</v>
      </c>
      <c r="E717">
        <f t="shared" ca="1" si="49"/>
        <v>1</v>
      </c>
      <c r="F717" s="4">
        <f t="shared" ca="1" si="47"/>
        <v>0.96604175707879003</v>
      </c>
      <c r="G717" s="5">
        <f t="shared" ca="1" si="48"/>
        <v>6.0207207074620683E-3</v>
      </c>
    </row>
    <row r="718" spans="2:7" x14ac:dyDescent="0.25">
      <c r="B718" s="22">
        <v>713</v>
      </c>
      <c r="C718" s="4">
        <f t="shared" ca="1" si="46"/>
        <v>-0.50414414050604717</v>
      </c>
      <c r="D718" s="5">
        <f t="shared" ca="1" si="46"/>
        <v>-0.13473949278400132</v>
      </c>
      <c r="E718">
        <f t="shared" ca="1" si="49"/>
        <v>1</v>
      </c>
      <c r="F718" s="4">
        <f t="shared" ca="1" si="47"/>
        <v>-0.50414414050604717</v>
      </c>
      <c r="G718" s="5">
        <f t="shared" ca="1" si="48"/>
        <v>-0.13473949278400132</v>
      </c>
    </row>
    <row r="719" spans="2:7" x14ac:dyDescent="0.25">
      <c r="B719" s="22">
        <v>714</v>
      </c>
      <c r="C719" s="4">
        <f t="shared" ca="1" si="46"/>
        <v>-0.64738836572372982</v>
      </c>
      <c r="D719" s="5">
        <f t="shared" ca="1" si="46"/>
        <v>1.6885384907372236E-2</v>
      </c>
      <c r="E719">
        <f t="shared" ca="1" si="49"/>
        <v>1</v>
      </c>
      <c r="F719" s="4">
        <f t="shared" ca="1" si="47"/>
        <v>-0.64738836572372982</v>
      </c>
      <c r="G719" s="5">
        <f t="shared" ca="1" si="48"/>
        <v>1.6885384907372236E-2</v>
      </c>
    </row>
    <row r="720" spans="2:7" x14ac:dyDescent="0.25">
      <c r="B720" s="22">
        <v>715</v>
      </c>
      <c r="C720" s="4">
        <f t="shared" ca="1" si="46"/>
        <v>1.42013336764375E-2</v>
      </c>
      <c r="D720" s="5">
        <f t="shared" ca="1" si="46"/>
        <v>0.31234920132727173</v>
      </c>
      <c r="E720">
        <f t="shared" ca="1" si="49"/>
        <v>1</v>
      </c>
      <c r="F720" s="4">
        <f t="shared" ca="1" si="47"/>
        <v>1.42013336764375E-2</v>
      </c>
      <c r="G720" s="5">
        <f t="shared" ca="1" si="48"/>
        <v>0.31234920132727173</v>
      </c>
    </row>
    <row r="721" spans="2:7" x14ac:dyDescent="0.25">
      <c r="B721" s="22">
        <v>716</v>
      </c>
      <c r="C721" s="4">
        <f t="shared" ca="1" si="46"/>
        <v>-0.69368343463242277</v>
      </c>
      <c r="D721" s="5">
        <f t="shared" ca="1" si="46"/>
        <v>-0.20836272320421423</v>
      </c>
      <c r="E721">
        <f t="shared" ca="1" si="49"/>
        <v>1</v>
      </c>
      <c r="F721" s="4">
        <f t="shared" ca="1" si="47"/>
        <v>-0.69368343463242277</v>
      </c>
      <c r="G721" s="5">
        <f t="shared" ca="1" si="48"/>
        <v>-0.20836272320421423</v>
      </c>
    </row>
    <row r="722" spans="2:7" x14ac:dyDescent="0.25">
      <c r="B722" s="22">
        <v>717</v>
      </c>
      <c r="C722" s="4">
        <f t="shared" ca="1" si="46"/>
        <v>0.67145631774601267</v>
      </c>
      <c r="D722" s="5">
        <f t="shared" ca="1" si="46"/>
        <v>0.31668948665140828</v>
      </c>
      <c r="E722">
        <f t="shared" ca="1" si="49"/>
        <v>1</v>
      </c>
      <c r="F722" s="4">
        <f t="shared" ca="1" si="47"/>
        <v>0.67145631774601267</v>
      </c>
      <c r="G722" s="5">
        <f t="shared" ca="1" si="48"/>
        <v>0.31668948665140828</v>
      </c>
    </row>
    <row r="723" spans="2:7" x14ac:dyDescent="0.25">
      <c r="B723" s="22">
        <v>718</v>
      </c>
      <c r="C723" s="4">
        <f t="shared" ca="1" si="46"/>
        <v>0.94003607449323967</v>
      </c>
      <c r="D723" s="5">
        <f t="shared" ca="1" si="46"/>
        <v>0.1985956874847723</v>
      </c>
      <c r="E723">
        <f t="shared" ca="1" si="49"/>
        <v>1</v>
      </c>
      <c r="F723" s="4">
        <f t="shared" ca="1" si="47"/>
        <v>0.94003607449323967</v>
      </c>
      <c r="G723" s="5">
        <f t="shared" ca="1" si="48"/>
        <v>0.1985956874847723</v>
      </c>
    </row>
    <row r="724" spans="2:7" x14ac:dyDescent="0.25">
      <c r="B724" s="22">
        <v>719</v>
      </c>
      <c r="C724" s="4">
        <f t="shared" ca="1" si="46"/>
        <v>-0.9043250984058353</v>
      </c>
      <c r="D724" s="5">
        <f t="shared" ca="1" si="46"/>
        <v>0.62320378963912293</v>
      </c>
      <c r="E724">
        <f t="shared" ca="1" si="49"/>
        <v>0</v>
      </c>
      <c r="F724" s="4">
        <f t="shared" ca="1" si="47"/>
        <v>0</v>
      </c>
      <c r="G724" s="5">
        <f t="shared" ca="1" si="48"/>
        <v>0</v>
      </c>
    </row>
    <row r="725" spans="2:7" x14ac:dyDescent="0.25">
      <c r="B725" s="22">
        <v>720</v>
      </c>
      <c r="C725" s="4">
        <f t="shared" ca="1" si="46"/>
        <v>-0.71269757649522658</v>
      </c>
      <c r="D725" s="5">
        <f t="shared" ca="1" si="46"/>
        <v>-0.74434253341165091</v>
      </c>
      <c r="E725">
        <f t="shared" ca="1" si="49"/>
        <v>0</v>
      </c>
      <c r="F725" s="4">
        <f t="shared" ca="1" si="47"/>
        <v>0</v>
      </c>
      <c r="G725" s="5">
        <f t="shared" ca="1" si="48"/>
        <v>0</v>
      </c>
    </row>
    <row r="726" spans="2:7" x14ac:dyDescent="0.25">
      <c r="B726" s="22">
        <v>721</v>
      </c>
      <c r="C726" s="4">
        <f t="shared" ca="1" si="46"/>
        <v>0.73720857819468866</v>
      </c>
      <c r="D726" s="5">
        <f t="shared" ca="1" si="46"/>
        <v>0.83291904476480183</v>
      </c>
      <c r="E726">
        <f t="shared" ca="1" si="49"/>
        <v>0</v>
      </c>
      <c r="F726" s="4">
        <f t="shared" ca="1" si="47"/>
        <v>0</v>
      </c>
      <c r="G726" s="5">
        <f t="shared" ca="1" si="48"/>
        <v>0</v>
      </c>
    </row>
    <row r="727" spans="2:7" x14ac:dyDescent="0.25">
      <c r="B727" s="22">
        <v>722</v>
      </c>
      <c r="C727" s="4">
        <f t="shared" ref="C727:D790" ca="1" si="50">1-2*RAND()</f>
        <v>0.67329405443160795</v>
      </c>
      <c r="D727" s="5">
        <f t="shared" ca="1" si="50"/>
        <v>-0.99324934081072302</v>
      </c>
      <c r="E727">
        <f t="shared" ca="1" si="49"/>
        <v>0</v>
      </c>
      <c r="F727" s="4">
        <f t="shared" ca="1" si="47"/>
        <v>0</v>
      </c>
      <c r="G727" s="5">
        <f t="shared" ca="1" si="48"/>
        <v>0</v>
      </c>
    </row>
    <row r="728" spans="2:7" x14ac:dyDescent="0.25">
      <c r="B728" s="22">
        <v>723</v>
      </c>
      <c r="C728" s="4">
        <f t="shared" ca="1" si="50"/>
        <v>0.41142225103390828</v>
      </c>
      <c r="D728" s="5">
        <f t="shared" ca="1" si="50"/>
        <v>-0.65658845311570135</v>
      </c>
      <c r="E728">
        <f t="shared" ca="1" si="49"/>
        <v>1</v>
      </c>
      <c r="F728" s="4">
        <f t="shared" ca="1" si="47"/>
        <v>0.41142225103390828</v>
      </c>
      <c r="G728" s="5">
        <f t="shared" ca="1" si="48"/>
        <v>-0.65658845311570135</v>
      </c>
    </row>
    <row r="729" spans="2:7" x14ac:dyDescent="0.25">
      <c r="B729" s="22">
        <v>724</v>
      </c>
      <c r="C729" s="4">
        <f t="shared" ca="1" si="50"/>
        <v>-0.36228554466137486</v>
      </c>
      <c r="D729" s="5">
        <f t="shared" ca="1" si="50"/>
        <v>-0.42732022631663158</v>
      </c>
      <c r="E729">
        <f t="shared" ca="1" si="49"/>
        <v>1</v>
      </c>
      <c r="F729" s="4">
        <f t="shared" ca="1" si="47"/>
        <v>-0.36228554466137486</v>
      </c>
      <c r="G729" s="5">
        <f t="shared" ca="1" si="48"/>
        <v>-0.42732022631663158</v>
      </c>
    </row>
    <row r="730" spans="2:7" x14ac:dyDescent="0.25">
      <c r="B730" s="22">
        <v>725</v>
      </c>
      <c r="C730" s="4">
        <f t="shared" ca="1" si="50"/>
        <v>2.8211373634404735E-2</v>
      </c>
      <c r="D730" s="5">
        <f t="shared" ca="1" si="50"/>
        <v>-0.62011686789326737</v>
      </c>
      <c r="E730">
        <f t="shared" ca="1" si="49"/>
        <v>1</v>
      </c>
      <c r="F730" s="4">
        <f t="shared" ca="1" si="47"/>
        <v>2.8211373634404735E-2</v>
      </c>
      <c r="G730" s="5">
        <f t="shared" ca="1" si="48"/>
        <v>-0.62011686789326737</v>
      </c>
    </row>
    <row r="731" spans="2:7" x14ac:dyDescent="0.25">
      <c r="B731" s="22">
        <v>726</v>
      </c>
      <c r="C731" s="4">
        <f t="shared" ca="1" si="50"/>
        <v>-0.41629352403658193</v>
      </c>
      <c r="D731" s="5">
        <f t="shared" ca="1" si="50"/>
        <v>-0.34785202636533352</v>
      </c>
      <c r="E731">
        <f t="shared" ca="1" si="49"/>
        <v>1</v>
      </c>
      <c r="F731" s="4">
        <f t="shared" ca="1" si="47"/>
        <v>-0.41629352403658193</v>
      </c>
      <c r="G731" s="5">
        <f t="shared" ca="1" si="48"/>
        <v>-0.34785202636533352</v>
      </c>
    </row>
    <row r="732" spans="2:7" x14ac:dyDescent="0.25">
      <c r="B732" s="22">
        <v>727</v>
      </c>
      <c r="C732" s="4">
        <f t="shared" ca="1" si="50"/>
        <v>-0.90145775150984409</v>
      </c>
      <c r="D732" s="5">
        <f t="shared" ca="1" si="50"/>
        <v>-0.80836149805001178</v>
      </c>
      <c r="E732">
        <f t="shared" ca="1" si="49"/>
        <v>0</v>
      </c>
      <c r="F732" s="4">
        <f t="shared" ca="1" si="47"/>
        <v>0</v>
      </c>
      <c r="G732" s="5">
        <f t="shared" ca="1" si="48"/>
        <v>0</v>
      </c>
    </row>
    <row r="733" spans="2:7" x14ac:dyDescent="0.25">
      <c r="B733" s="22">
        <v>728</v>
      </c>
      <c r="C733" s="4">
        <f t="shared" ca="1" si="50"/>
        <v>-9.4586511093786685E-2</v>
      </c>
      <c r="D733" s="5">
        <f t="shared" ca="1" si="50"/>
        <v>-0.15958318561112983</v>
      </c>
      <c r="E733">
        <f t="shared" ca="1" si="49"/>
        <v>1</v>
      </c>
      <c r="F733" s="4">
        <f t="shared" ca="1" si="47"/>
        <v>-9.4586511093786685E-2</v>
      </c>
      <c r="G733" s="5">
        <f t="shared" ca="1" si="48"/>
        <v>-0.15958318561112983</v>
      </c>
    </row>
    <row r="734" spans="2:7" x14ac:dyDescent="0.25">
      <c r="B734" s="22">
        <v>729</v>
      </c>
      <c r="C734" s="4">
        <f t="shared" ca="1" si="50"/>
        <v>-8.9303792763532064E-2</v>
      </c>
      <c r="D734" s="5">
        <f t="shared" ca="1" si="50"/>
        <v>0.50356000673656109</v>
      </c>
      <c r="E734">
        <f t="shared" ca="1" si="49"/>
        <v>1</v>
      </c>
      <c r="F734" s="4">
        <f t="shared" ca="1" si="47"/>
        <v>-8.9303792763532064E-2</v>
      </c>
      <c r="G734" s="5">
        <f t="shared" ca="1" si="48"/>
        <v>0.50356000673656109</v>
      </c>
    </row>
    <row r="735" spans="2:7" x14ac:dyDescent="0.25">
      <c r="B735" s="22">
        <v>730</v>
      </c>
      <c r="C735" s="4">
        <f t="shared" ca="1" si="50"/>
        <v>0.2233147239175608</v>
      </c>
      <c r="D735" s="5">
        <f t="shared" ca="1" si="50"/>
        <v>-0.63115932096298244</v>
      </c>
      <c r="E735">
        <f t="shared" ca="1" si="49"/>
        <v>1</v>
      </c>
      <c r="F735" s="4">
        <f t="shared" ca="1" si="47"/>
        <v>0.2233147239175608</v>
      </c>
      <c r="G735" s="5">
        <f t="shared" ca="1" si="48"/>
        <v>-0.63115932096298244</v>
      </c>
    </row>
    <row r="736" spans="2:7" x14ac:dyDescent="0.25">
      <c r="B736" s="22">
        <v>731</v>
      </c>
      <c r="C736" s="4">
        <f t="shared" ca="1" si="50"/>
        <v>0.66963722531402592</v>
      </c>
      <c r="D736" s="5">
        <f t="shared" ca="1" si="50"/>
        <v>2.4255316084753842E-2</v>
      </c>
      <c r="E736">
        <f t="shared" ca="1" si="49"/>
        <v>1</v>
      </c>
      <c r="F736" s="4">
        <f t="shared" ca="1" si="47"/>
        <v>0.66963722531402592</v>
      </c>
      <c r="G736" s="5">
        <f t="shared" ca="1" si="48"/>
        <v>2.4255316084753842E-2</v>
      </c>
    </row>
    <row r="737" spans="2:7" x14ac:dyDescent="0.25">
      <c r="B737" s="22">
        <v>732</v>
      </c>
      <c r="C737" s="4">
        <f t="shared" ca="1" si="50"/>
        <v>4.0245270417236467E-2</v>
      </c>
      <c r="D737" s="5">
        <f t="shared" ca="1" si="50"/>
        <v>0.52600709537779311</v>
      </c>
      <c r="E737">
        <f t="shared" ca="1" si="49"/>
        <v>1</v>
      </c>
      <c r="F737" s="4">
        <f t="shared" ca="1" si="47"/>
        <v>4.0245270417236467E-2</v>
      </c>
      <c r="G737" s="5">
        <f t="shared" ca="1" si="48"/>
        <v>0.52600709537779311</v>
      </c>
    </row>
    <row r="738" spans="2:7" x14ac:dyDescent="0.25">
      <c r="B738" s="22">
        <v>733</v>
      </c>
      <c r="C738" s="4">
        <f t="shared" ca="1" si="50"/>
        <v>0.72772028409074752</v>
      </c>
      <c r="D738" s="5">
        <f t="shared" ca="1" si="50"/>
        <v>-0.88471328459476872</v>
      </c>
      <c r="E738">
        <f t="shared" ca="1" si="49"/>
        <v>0</v>
      </c>
      <c r="F738" s="4">
        <f t="shared" ca="1" si="47"/>
        <v>0</v>
      </c>
      <c r="G738" s="5">
        <f t="shared" ca="1" si="48"/>
        <v>0</v>
      </c>
    </row>
    <row r="739" spans="2:7" x14ac:dyDescent="0.25">
      <c r="B739" s="22">
        <v>734</v>
      </c>
      <c r="C739" s="4">
        <f t="shared" ca="1" si="50"/>
        <v>-0.3635238733457955</v>
      </c>
      <c r="D739" s="5">
        <f t="shared" ca="1" si="50"/>
        <v>-0.19086869200091705</v>
      </c>
      <c r="E739">
        <f t="shared" ca="1" si="49"/>
        <v>1</v>
      </c>
      <c r="F739" s="4">
        <f t="shared" ca="1" si="47"/>
        <v>-0.3635238733457955</v>
      </c>
      <c r="G739" s="5">
        <f t="shared" ca="1" si="48"/>
        <v>-0.19086869200091705</v>
      </c>
    </row>
    <row r="740" spans="2:7" x14ac:dyDescent="0.25">
      <c r="B740" s="22">
        <v>735</v>
      </c>
      <c r="C740" s="4">
        <f t="shared" ca="1" si="50"/>
        <v>-0.5049713250459591</v>
      </c>
      <c r="D740" s="5">
        <f t="shared" ca="1" si="50"/>
        <v>2.9325963023946855E-2</v>
      </c>
      <c r="E740">
        <f t="shared" ca="1" si="49"/>
        <v>1</v>
      </c>
      <c r="F740" s="4">
        <f t="shared" ca="1" si="47"/>
        <v>-0.5049713250459591</v>
      </c>
      <c r="G740" s="5">
        <f t="shared" ca="1" si="48"/>
        <v>2.9325963023946855E-2</v>
      </c>
    </row>
    <row r="741" spans="2:7" x14ac:dyDescent="0.25">
      <c r="B741" s="22">
        <v>736</v>
      </c>
      <c r="C741" s="4">
        <f t="shared" ca="1" si="50"/>
        <v>0.78019230576293097</v>
      </c>
      <c r="D741" s="5">
        <f t="shared" ca="1" si="50"/>
        <v>0.60182379531791286</v>
      </c>
      <c r="E741">
        <f t="shared" ca="1" si="49"/>
        <v>1</v>
      </c>
      <c r="F741" s="4">
        <f t="shared" ca="1" si="47"/>
        <v>0.78019230576293097</v>
      </c>
      <c r="G741" s="5">
        <f t="shared" ca="1" si="48"/>
        <v>0.60182379531791286</v>
      </c>
    </row>
    <row r="742" spans="2:7" x14ac:dyDescent="0.25">
      <c r="B742" s="22">
        <v>737</v>
      </c>
      <c r="C742" s="4">
        <f t="shared" ca="1" si="50"/>
        <v>0.85612272355222863</v>
      </c>
      <c r="D742" s="5">
        <f t="shared" ca="1" si="50"/>
        <v>0.86590475008362966</v>
      </c>
      <c r="E742">
        <f t="shared" ca="1" si="49"/>
        <v>0</v>
      </c>
      <c r="F742" s="4">
        <f t="shared" ca="1" si="47"/>
        <v>0</v>
      </c>
      <c r="G742" s="5">
        <f t="shared" ca="1" si="48"/>
        <v>0</v>
      </c>
    </row>
    <row r="743" spans="2:7" x14ac:dyDescent="0.25">
      <c r="B743" s="22">
        <v>738</v>
      </c>
      <c r="C743" s="4">
        <f t="shared" ca="1" si="50"/>
        <v>0.93732601777966651</v>
      </c>
      <c r="D743" s="5">
        <f t="shared" ca="1" si="50"/>
        <v>0.56109722584411381</v>
      </c>
      <c r="E743">
        <f t="shared" ca="1" si="49"/>
        <v>0</v>
      </c>
      <c r="F743" s="4">
        <f t="shared" ca="1" si="47"/>
        <v>0</v>
      </c>
      <c r="G743" s="5">
        <f t="shared" ca="1" si="48"/>
        <v>0</v>
      </c>
    </row>
    <row r="744" spans="2:7" x14ac:dyDescent="0.25">
      <c r="B744" s="22">
        <v>739</v>
      </c>
      <c r="C744" s="4">
        <f t="shared" ca="1" si="50"/>
        <v>-0.2010106185330065</v>
      </c>
      <c r="D744" s="5">
        <f t="shared" ca="1" si="50"/>
        <v>6.1306181880265376E-2</v>
      </c>
      <c r="E744">
        <f t="shared" ca="1" si="49"/>
        <v>1</v>
      </c>
      <c r="F744" s="4">
        <f t="shared" ca="1" si="47"/>
        <v>-0.2010106185330065</v>
      </c>
      <c r="G744" s="5">
        <f t="shared" ca="1" si="48"/>
        <v>6.1306181880265376E-2</v>
      </c>
    </row>
    <row r="745" spans="2:7" x14ac:dyDescent="0.25">
      <c r="B745" s="22">
        <v>740</v>
      </c>
      <c r="C745" s="4">
        <f t="shared" ca="1" si="50"/>
        <v>-0.66450144880638917</v>
      </c>
      <c r="D745" s="5">
        <f t="shared" ca="1" si="50"/>
        <v>0.74179637451591152</v>
      </c>
      <c r="E745">
        <f t="shared" ca="1" si="49"/>
        <v>1</v>
      </c>
      <c r="F745" s="4">
        <f t="shared" ca="1" si="47"/>
        <v>-0.66450144880638917</v>
      </c>
      <c r="G745" s="5">
        <f t="shared" ca="1" si="48"/>
        <v>0.74179637451591152</v>
      </c>
    </row>
    <row r="746" spans="2:7" x14ac:dyDescent="0.25">
      <c r="B746" s="22">
        <v>741</v>
      </c>
      <c r="C746" s="4">
        <f t="shared" ca="1" si="50"/>
        <v>0.35362847711762302</v>
      </c>
      <c r="D746" s="5">
        <f t="shared" ca="1" si="50"/>
        <v>-0.39750526254062168</v>
      </c>
      <c r="E746">
        <f t="shared" ca="1" si="49"/>
        <v>1</v>
      </c>
      <c r="F746" s="4">
        <f t="shared" ca="1" si="47"/>
        <v>0.35362847711762302</v>
      </c>
      <c r="G746" s="5">
        <f t="shared" ca="1" si="48"/>
        <v>-0.39750526254062168</v>
      </c>
    </row>
    <row r="747" spans="2:7" x14ac:dyDescent="0.25">
      <c r="B747" s="22">
        <v>742</v>
      </c>
      <c r="C747" s="4">
        <f t="shared" ca="1" si="50"/>
        <v>-0.43827928720997833</v>
      </c>
      <c r="D747" s="5">
        <f t="shared" ca="1" si="50"/>
        <v>-0.27922428984751346</v>
      </c>
      <c r="E747">
        <f t="shared" ca="1" si="49"/>
        <v>1</v>
      </c>
      <c r="F747" s="4">
        <f t="shared" ca="1" si="47"/>
        <v>-0.43827928720997833</v>
      </c>
      <c r="G747" s="5">
        <f t="shared" ca="1" si="48"/>
        <v>-0.27922428984751346</v>
      </c>
    </row>
    <row r="748" spans="2:7" x14ac:dyDescent="0.25">
      <c r="B748" s="22">
        <v>743</v>
      </c>
      <c r="C748" s="4">
        <f t="shared" ca="1" si="50"/>
        <v>-0.74213154772785228</v>
      </c>
      <c r="D748" s="5">
        <f t="shared" ca="1" si="50"/>
        <v>0.17663433270227968</v>
      </c>
      <c r="E748">
        <f t="shared" ca="1" si="49"/>
        <v>1</v>
      </c>
      <c r="F748" s="4">
        <f t="shared" ca="1" si="47"/>
        <v>-0.74213154772785228</v>
      </c>
      <c r="G748" s="5">
        <f t="shared" ca="1" si="48"/>
        <v>0.17663433270227968</v>
      </c>
    </row>
    <row r="749" spans="2:7" x14ac:dyDescent="0.25">
      <c r="B749" s="22">
        <v>744</v>
      </c>
      <c r="C749" s="4">
        <f t="shared" ca="1" si="50"/>
        <v>7.1230613919400776E-2</v>
      </c>
      <c r="D749" s="5">
        <f t="shared" ca="1" si="50"/>
        <v>1.958650666426931E-2</v>
      </c>
      <c r="E749">
        <f t="shared" ca="1" si="49"/>
        <v>1</v>
      </c>
      <c r="F749" s="4">
        <f t="shared" ca="1" si="47"/>
        <v>7.1230613919400776E-2</v>
      </c>
      <c r="G749" s="5">
        <f t="shared" ca="1" si="48"/>
        <v>1.958650666426931E-2</v>
      </c>
    </row>
    <row r="750" spans="2:7" x14ac:dyDescent="0.25">
      <c r="B750" s="22">
        <v>745</v>
      </c>
      <c r="C750" s="4">
        <f t="shared" ca="1" si="50"/>
        <v>-0.62645271553665549</v>
      </c>
      <c r="D750" s="5">
        <f t="shared" ca="1" si="50"/>
        <v>0.62028472339566743</v>
      </c>
      <c r="E750">
        <f t="shared" ca="1" si="49"/>
        <v>1</v>
      </c>
      <c r="F750" s="4">
        <f t="shared" ca="1" si="47"/>
        <v>-0.62645271553665549</v>
      </c>
      <c r="G750" s="5">
        <f t="shared" ca="1" si="48"/>
        <v>0.62028472339566743</v>
      </c>
    </row>
    <row r="751" spans="2:7" x14ac:dyDescent="0.25">
      <c r="B751" s="22">
        <v>746</v>
      </c>
      <c r="C751" s="4">
        <f t="shared" ca="1" si="50"/>
        <v>-0.59780592115613929</v>
      </c>
      <c r="D751" s="5">
        <f t="shared" ca="1" si="50"/>
        <v>9.7212055464423575E-2</v>
      </c>
      <c r="E751">
        <f t="shared" ca="1" si="49"/>
        <v>1</v>
      </c>
      <c r="F751" s="4">
        <f t="shared" ca="1" si="47"/>
        <v>-0.59780592115613929</v>
      </c>
      <c r="G751" s="5">
        <f t="shared" ca="1" si="48"/>
        <v>9.7212055464423575E-2</v>
      </c>
    </row>
    <row r="752" spans="2:7" x14ac:dyDescent="0.25">
      <c r="B752" s="22">
        <v>747</v>
      </c>
      <c r="C752" s="4">
        <f t="shared" ca="1" si="50"/>
        <v>0.6065945342916339</v>
      </c>
      <c r="D752" s="5">
        <f t="shared" ca="1" si="50"/>
        <v>0.69071597535945273</v>
      </c>
      <c r="E752">
        <f t="shared" ca="1" si="49"/>
        <v>1</v>
      </c>
      <c r="F752" s="4">
        <f t="shared" ca="1" si="47"/>
        <v>0.6065945342916339</v>
      </c>
      <c r="G752" s="5">
        <f t="shared" ca="1" si="48"/>
        <v>0.69071597535945273</v>
      </c>
    </row>
    <row r="753" spans="2:7" x14ac:dyDescent="0.25">
      <c r="B753" s="22">
        <v>748</v>
      </c>
      <c r="C753" s="4">
        <f t="shared" ca="1" si="50"/>
        <v>-0.27854519877936057</v>
      </c>
      <c r="D753" s="5">
        <f t="shared" ca="1" si="50"/>
        <v>-0.93886662968355639</v>
      </c>
      <c r="E753">
        <f t="shared" ca="1" si="49"/>
        <v>1</v>
      </c>
      <c r="F753" s="4">
        <f t="shared" ca="1" si="47"/>
        <v>-0.27854519877936057</v>
      </c>
      <c r="G753" s="5">
        <f t="shared" ca="1" si="48"/>
        <v>-0.93886662968355639</v>
      </c>
    </row>
    <row r="754" spans="2:7" x14ac:dyDescent="0.25">
      <c r="B754" s="22">
        <v>749</v>
      </c>
      <c r="C754" s="4">
        <f t="shared" ca="1" si="50"/>
        <v>4.4563554170536479E-2</v>
      </c>
      <c r="D754" s="5">
        <f t="shared" ca="1" si="50"/>
        <v>4.5095347217001036E-2</v>
      </c>
      <c r="E754">
        <f t="shared" ca="1" si="49"/>
        <v>1</v>
      </c>
      <c r="F754" s="4">
        <f t="shared" ca="1" si="47"/>
        <v>4.4563554170536479E-2</v>
      </c>
      <c r="G754" s="5">
        <f t="shared" ca="1" si="48"/>
        <v>4.5095347217001036E-2</v>
      </c>
    </row>
    <row r="755" spans="2:7" x14ac:dyDescent="0.25">
      <c r="B755" s="22">
        <v>750</v>
      </c>
      <c r="C755" s="4">
        <f t="shared" ca="1" si="50"/>
        <v>0.79982610653173825</v>
      </c>
      <c r="D755" s="5">
        <f t="shared" ca="1" si="50"/>
        <v>0.89091785710527915</v>
      </c>
      <c r="E755">
        <f t="shared" ca="1" si="49"/>
        <v>0</v>
      </c>
      <c r="F755" s="4">
        <f t="shared" ca="1" si="47"/>
        <v>0</v>
      </c>
      <c r="G755" s="5">
        <f t="shared" ca="1" si="48"/>
        <v>0</v>
      </c>
    </row>
    <row r="756" spans="2:7" x14ac:dyDescent="0.25">
      <c r="B756" s="22">
        <v>751</v>
      </c>
      <c r="C756" s="4">
        <f t="shared" ca="1" si="50"/>
        <v>-0.38744112825464416</v>
      </c>
      <c r="D756" s="5">
        <f t="shared" ca="1" si="50"/>
        <v>-0.66400696572303897</v>
      </c>
      <c r="E756">
        <f t="shared" ca="1" si="49"/>
        <v>1</v>
      </c>
      <c r="F756" s="4">
        <f t="shared" ca="1" si="47"/>
        <v>-0.38744112825464416</v>
      </c>
      <c r="G756" s="5">
        <f t="shared" ca="1" si="48"/>
        <v>-0.66400696572303897</v>
      </c>
    </row>
    <row r="757" spans="2:7" x14ac:dyDescent="0.25">
      <c r="B757" s="22">
        <v>752</v>
      </c>
      <c r="C757" s="4">
        <f t="shared" ca="1" si="50"/>
        <v>9.8150503490588514E-2</v>
      </c>
      <c r="D757" s="5">
        <f t="shared" ca="1" si="50"/>
        <v>0.50741829147408191</v>
      </c>
      <c r="E757">
        <f t="shared" ca="1" si="49"/>
        <v>1</v>
      </c>
      <c r="F757" s="4">
        <f t="shared" ca="1" si="47"/>
        <v>9.8150503490588514E-2</v>
      </c>
      <c r="G757" s="5">
        <f t="shared" ca="1" si="48"/>
        <v>0.50741829147408191</v>
      </c>
    </row>
    <row r="758" spans="2:7" x14ac:dyDescent="0.25">
      <c r="B758" s="22">
        <v>753</v>
      </c>
      <c r="C758" s="4">
        <f t="shared" ca="1" si="50"/>
        <v>0.96544567964304506</v>
      </c>
      <c r="D758" s="5">
        <f t="shared" ca="1" si="50"/>
        <v>-0.10633973580443468</v>
      </c>
      <c r="E758">
        <f t="shared" ca="1" si="49"/>
        <v>1</v>
      </c>
      <c r="F758" s="4">
        <f t="shared" ca="1" si="47"/>
        <v>0.96544567964304506</v>
      </c>
      <c r="G758" s="5">
        <f t="shared" ca="1" si="48"/>
        <v>-0.10633973580443468</v>
      </c>
    </row>
    <row r="759" spans="2:7" x14ac:dyDescent="0.25">
      <c r="B759" s="22">
        <v>754</v>
      </c>
      <c r="C759" s="4">
        <f t="shared" ca="1" si="50"/>
        <v>-0.23445604939466369</v>
      </c>
      <c r="D759" s="5">
        <f t="shared" ca="1" si="50"/>
        <v>0.44660958719695198</v>
      </c>
      <c r="E759">
        <f t="shared" ca="1" si="49"/>
        <v>1</v>
      </c>
      <c r="F759" s="4">
        <f t="shared" ca="1" si="47"/>
        <v>-0.23445604939466369</v>
      </c>
      <c r="G759" s="5">
        <f t="shared" ca="1" si="48"/>
        <v>0.44660958719695198</v>
      </c>
    </row>
    <row r="760" spans="2:7" x14ac:dyDescent="0.25">
      <c r="B760" s="22">
        <v>755</v>
      </c>
      <c r="C760" s="4">
        <f t="shared" ca="1" si="50"/>
        <v>-0.17466296305230955</v>
      </c>
      <c r="D760" s="5">
        <f t="shared" ca="1" si="50"/>
        <v>-0.14254951005241634</v>
      </c>
      <c r="E760">
        <f t="shared" ca="1" si="49"/>
        <v>1</v>
      </c>
      <c r="F760" s="4">
        <f t="shared" ca="1" si="47"/>
        <v>-0.17466296305230955</v>
      </c>
      <c r="G760" s="5">
        <f t="shared" ca="1" si="48"/>
        <v>-0.14254951005241634</v>
      </c>
    </row>
    <row r="761" spans="2:7" x14ac:dyDescent="0.25">
      <c r="B761" s="22">
        <v>756</v>
      </c>
      <c r="C761" s="4">
        <f t="shared" ca="1" si="50"/>
        <v>0.43001547497526715</v>
      </c>
      <c r="D761" s="5">
        <f t="shared" ca="1" si="50"/>
        <v>-0.68022697383371344</v>
      </c>
      <c r="E761">
        <f t="shared" ca="1" si="49"/>
        <v>1</v>
      </c>
      <c r="F761" s="4">
        <f t="shared" ca="1" si="47"/>
        <v>0.43001547497526715</v>
      </c>
      <c r="G761" s="5">
        <f t="shared" ca="1" si="48"/>
        <v>-0.68022697383371344</v>
      </c>
    </row>
    <row r="762" spans="2:7" x14ac:dyDescent="0.25">
      <c r="B762" s="22">
        <v>757</v>
      </c>
      <c r="C762" s="4">
        <f t="shared" ca="1" si="50"/>
        <v>0.60667388560057578</v>
      </c>
      <c r="D762" s="5">
        <f t="shared" ca="1" si="50"/>
        <v>0.96469007349464841</v>
      </c>
      <c r="E762">
        <f t="shared" ca="1" si="49"/>
        <v>0</v>
      </c>
      <c r="F762" s="4">
        <f t="shared" ca="1" si="47"/>
        <v>0</v>
      </c>
      <c r="G762" s="5">
        <f t="shared" ca="1" si="48"/>
        <v>0</v>
      </c>
    </row>
    <row r="763" spans="2:7" x14ac:dyDescent="0.25">
      <c r="B763" s="22">
        <v>758</v>
      </c>
      <c r="C763" s="4">
        <f t="shared" ca="1" si="50"/>
        <v>-0.46999140012835805</v>
      </c>
      <c r="D763" s="5">
        <f t="shared" ca="1" si="50"/>
        <v>0.17696155600565278</v>
      </c>
      <c r="E763">
        <f t="shared" ca="1" si="49"/>
        <v>1</v>
      </c>
      <c r="F763" s="4">
        <f t="shared" ca="1" si="47"/>
        <v>-0.46999140012835805</v>
      </c>
      <c r="G763" s="5">
        <f t="shared" ca="1" si="48"/>
        <v>0.17696155600565278</v>
      </c>
    </row>
    <row r="764" spans="2:7" x14ac:dyDescent="0.25">
      <c r="B764" s="22">
        <v>759</v>
      </c>
      <c r="C764" s="4">
        <f t="shared" ca="1" si="50"/>
        <v>0.34896772659925923</v>
      </c>
      <c r="D764" s="5">
        <f t="shared" ca="1" si="50"/>
        <v>0.7318164097211719</v>
      </c>
      <c r="E764">
        <f t="shared" ca="1" si="49"/>
        <v>1</v>
      </c>
      <c r="F764" s="4">
        <f t="shared" ca="1" si="47"/>
        <v>0.34896772659925923</v>
      </c>
      <c r="G764" s="5">
        <f t="shared" ca="1" si="48"/>
        <v>0.7318164097211719</v>
      </c>
    </row>
    <row r="765" spans="2:7" x14ac:dyDescent="0.25">
      <c r="B765" s="22">
        <v>760</v>
      </c>
      <c r="C765" s="4">
        <f t="shared" ca="1" si="50"/>
        <v>5.9832730944707313E-2</v>
      </c>
      <c r="D765" s="5">
        <f t="shared" ca="1" si="50"/>
        <v>0.34534190323396774</v>
      </c>
      <c r="E765">
        <f t="shared" ca="1" si="49"/>
        <v>1</v>
      </c>
      <c r="F765" s="4">
        <f t="shared" ca="1" si="47"/>
        <v>5.9832730944707313E-2</v>
      </c>
      <c r="G765" s="5">
        <f t="shared" ca="1" si="48"/>
        <v>0.34534190323396774</v>
      </c>
    </row>
    <row r="766" spans="2:7" x14ac:dyDescent="0.25">
      <c r="B766" s="22">
        <v>761</v>
      </c>
      <c r="C766" s="4">
        <f t="shared" ca="1" si="50"/>
        <v>9.3176344235016861E-2</v>
      </c>
      <c r="D766" s="5">
        <f t="shared" ca="1" si="50"/>
        <v>0.49660540465331016</v>
      </c>
      <c r="E766">
        <f t="shared" ca="1" si="49"/>
        <v>1</v>
      </c>
      <c r="F766" s="4">
        <f t="shared" ca="1" si="47"/>
        <v>9.3176344235016861E-2</v>
      </c>
      <c r="G766" s="5">
        <f t="shared" ca="1" si="48"/>
        <v>0.49660540465331016</v>
      </c>
    </row>
    <row r="767" spans="2:7" x14ac:dyDescent="0.25">
      <c r="B767" s="22">
        <v>762</v>
      </c>
      <c r="C767" s="4">
        <f t="shared" ca="1" si="50"/>
        <v>-0.89193167927348416</v>
      </c>
      <c r="D767" s="5">
        <f t="shared" ca="1" si="50"/>
        <v>-0.75894625223034562</v>
      </c>
      <c r="E767">
        <f t="shared" ca="1" si="49"/>
        <v>0</v>
      </c>
      <c r="F767" s="4">
        <f t="shared" ca="1" si="47"/>
        <v>0</v>
      </c>
      <c r="G767" s="5">
        <f t="shared" ca="1" si="48"/>
        <v>0</v>
      </c>
    </row>
    <row r="768" spans="2:7" x14ac:dyDescent="0.25">
      <c r="B768" s="22">
        <v>763</v>
      </c>
      <c r="C768" s="4">
        <f t="shared" ca="1" si="50"/>
        <v>-0.74555537178002029</v>
      </c>
      <c r="D768" s="5">
        <f t="shared" ca="1" si="50"/>
        <v>0.61979677004219136</v>
      </c>
      <c r="E768">
        <f t="shared" ca="1" si="49"/>
        <v>1</v>
      </c>
      <c r="F768" s="4">
        <f t="shared" ca="1" si="47"/>
        <v>-0.74555537178002029</v>
      </c>
      <c r="G768" s="5">
        <f t="shared" ca="1" si="48"/>
        <v>0.61979677004219136</v>
      </c>
    </row>
    <row r="769" spans="2:7" x14ac:dyDescent="0.25">
      <c r="B769" s="22">
        <v>764</v>
      </c>
      <c r="C769" s="4">
        <f t="shared" ca="1" si="50"/>
        <v>-0.84107032553997363</v>
      </c>
      <c r="D769" s="5">
        <f t="shared" ca="1" si="50"/>
        <v>-0.95057857411445079</v>
      </c>
      <c r="E769">
        <f t="shared" ca="1" si="49"/>
        <v>0</v>
      </c>
      <c r="F769" s="4">
        <f t="shared" ca="1" si="47"/>
        <v>0</v>
      </c>
      <c r="G769" s="5">
        <f t="shared" ca="1" si="48"/>
        <v>0</v>
      </c>
    </row>
    <row r="770" spans="2:7" x14ac:dyDescent="0.25">
      <c r="B770" s="22">
        <v>765</v>
      </c>
      <c r="C770" s="4">
        <f t="shared" ca="1" si="50"/>
        <v>-0.97780245097283602</v>
      </c>
      <c r="D770" s="5">
        <f t="shared" ca="1" si="50"/>
        <v>-0.83920195464040193</v>
      </c>
      <c r="E770">
        <f t="shared" ca="1" si="49"/>
        <v>0</v>
      </c>
      <c r="F770" s="4">
        <f t="shared" ca="1" si="47"/>
        <v>0</v>
      </c>
      <c r="G770" s="5">
        <f t="shared" ca="1" si="48"/>
        <v>0</v>
      </c>
    </row>
    <row r="771" spans="2:7" x14ac:dyDescent="0.25">
      <c r="B771" s="22">
        <v>766</v>
      </c>
      <c r="C771" s="4">
        <f t="shared" ca="1" si="50"/>
        <v>-0.90301402949716358</v>
      </c>
      <c r="D771" s="5">
        <f t="shared" ca="1" si="50"/>
        <v>0.32004215939845171</v>
      </c>
      <c r="E771">
        <f t="shared" ca="1" si="49"/>
        <v>1</v>
      </c>
      <c r="F771" s="4">
        <f t="shared" ca="1" si="47"/>
        <v>-0.90301402949716358</v>
      </c>
      <c r="G771" s="5">
        <f t="shared" ca="1" si="48"/>
        <v>0.32004215939845171</v>
      </c>
    </row>
    <row r="772" spans="2:7" x14ac:dyDescent="0.25">
      <c r="B772" s="22">
        <v>767</v>
      </c>
      <c r="C772" s="4">
        <f t="shared" ca="1" si="50"/>
        <v>-0.47673403876680021</v>
      </c>
      <c r="D772" s="5">
        <f t="shared" ca="1" si="50"/>
        <v>0.79478252502901348</v>
      </c>
      <c r="E772">
        <f t="shared" ca="1" si="49"/>
        <v>1</v>
      </c>
      <c r="F772" s="4">
        <f t="shared" ca="1" si="47"/>
        <v>-0.47673403876680021</v>
      </c>
      <c r="G772" s="5">
        <f t="shared" ca="1" si="48"/>
        <v>0.79478252502901348</v>
      </c>
    </row>
    <row r="773" spans="2:7" x14ac:dyDescent="0.25">
      <c r="B773" s="22">
        <v>768</v>
      </c>
      <c r="C773" s="4">
        <f t="shared" ca="1" si="50"/>
        <v>0.40733191829200655</v>
      </c>
      <c r="D773" s="5">
        <f t="shared" ca="1" si="50"/>
        <v>0.20304658816889276</v>
      </c>
      <c r="E773">
        <f t="shared" ca="1" si="49"/>
        <v>1</v>
      </c>
      <c r="F773" s="4">
        <f t="shared" ca="1" si="47"/>
        <v>0.40733191829200655</v>
      </c>
      <c r="G773" s="5">
        <f t="shared" ca="1" si="48"/>
        <v>0.20304658816889276</v>
      </c>
    </row>
    <row r="774" spans="2:7" x14ac:dyDescent="0.25">
      <c r="B774" s="22">
        <v>769</v>
      </c>
      <c r="C774" s="4">
        <f t="shared" ca="1" si="50"/>
        <v>-0.85544667692714116</v>
      </c>
      <c r="D774" s="5">
        <f t="shared" ca="1" si="50"/>
        <v>-0.2406538947667769</v>
      </c>
      <c r="E774">
        <f t="shared" ca="1" si="49"/>
        <v>1</v>
      </c>
      <c r="F774" s="4">
        <f t="shared" ref="F774:F837" ca="1" si="51">IF((C774^2+D774^2)&lt;1, C774, 0)</f>
        <v>-0.85544667692714116</v>
      </c>
      <c r="G774" s="5">
        <f t="shared" ref="G774:G837" ca="1" si="52">IF((C774^2+D774^2)&lt;1, D774, 0)</f>
        <v>-0.2406538947667769</v>
      </c>
    </row>
    <row r="775" spans="2:7" x14ac:dyDescent="0.25">
      <c r="B775" s="22">
        <v>770</v>
      </c>
      <c r="C775" s="4">
        <f t="shared" ca="1" si="50"/>
        <v>-0.14673169565811639</v>
      </c>
      <c r="D775" s="5">
        <f t="shared" ca="1" si="50"/>
        <v>6.5670148013705631E-2</v>
      </c>
      <c r="E775">
        <f t="shared" ref="E775:E838" ca="1" si="53">IF(C775^2+D775^2&lt;1, 1, 0)</f>
        <v>1</v>
      </c>
      <c r="F775" s="4">
        <f t="shared" ca="1" si="51"/>
        <v>-0.14673169565811639</v>
      </c>
      <c r="G775" s="5">
        <f t="shared" ca="1" si="52"/>
        <v>6.5670148013705631E-2</v>
      </c>
    </row>
    <row r="776" spans="2:7" x14ac:dyDescent="0.25">
      <c r="B776" s="22">
        <v>771</v>
      </c>
      <c r="C776" s="4">
        <f t="shared" ca="1" si="50"/>
        <v>0.76224838535834394</v>
      </c>
      <c r="D776" s="5">
        <f t="shared" ca="1" si="50"/>
        <v>-0.30000773736104858</v>
      </c>
      <c r="E776">
        <f t="shared" ca="1" si="53"/>
        <v>1</v>
      </c>
      <c r="F776" s="4">
        <f t="shared" ca="1" si="51"/>
        <v>0.76224838535834394</v>
      </c>
      <c r="G776" s="5">
        <f t="shared" ca="1" si="52"/>
        <v>-0.30000773736104858</v>
      </c>
    </row>
    <row r="777" spans="2:7" x14ac:dyDescent="0.25">
      <c r="B777" s="22">
        <v>772</v>
      </c>
      <c r="C777" s="4">
        <f t="shared" ca="1" si="50"/>
        <v>-0.81602456449762273</v>
      </c>
      <c r="D777" s="5">
        <f t="shared" ca="1" si="50"/>
        <v>0.35208871224595417</v>
      </c>
      <c r="E777">
        <f t="shared" ca="1" si="53"/>
        <v>1</v>
      </c>
      <c r="F777" s="4">
        <f t="shared" ca="1" si="51"/>
        <v>-0.81602456449762273</v>
      </c>
      <c r="G777" s="5">
        <f t="shared" ca="1" si="52"/>
        <v>0.35208871224595417</v>
      </c>
    </row>
    <row r="778" spans="2:7" x14ac:dyDescent="0.25">
      <c r="B778" s="22">
        <v>773</v>
      </c>
      <c r="C778" s="4">
        <f t="shared" ca="1" si="50"/>
        <v>-0.64300278955092005</v>
      </c>
      <c r="D778" s="5">
        <f t="shared" ca="1" si="50"/>
        <v>-0.75741312006765393</v>
      </c>
      <c r="E778">
        <f t="shared" ca="1" si="53"/>
        <v>1</v>
      </c>
      <c r="F778" s="4">
        <f t="shared" ca="1" si="51"/>
        <v>-0.64300278955092005</v>
      </c>
      <c r="G778" s="5">
        <f t="shared" ca="1" si="52"/>
        <v>-0.75741312006765393</v>
      </c>
    </row>
    <row r="779" spans="2:7" x14ac:dyDescent="0.25">
      <c r="B779" s="22">
        <v>774</v>
      </c>
      <c r="C779" s="4">
        <f t="shared" ca="1" si="50"/>
        <v>0.46490502540602208</v>
      </c>
      <c r="D779" s="5">
        <f t="shared" ca="1" si="50"/>
        <v>-2.3869459666302717E-2</v>
      </c>
      <c r="E779">
        <f t="shared" ca="1" si="53"/>
        <v>1</v>
      </c>
      <c r="F779" s="4">
        <f t="shared" ca="1" si="51"/>
        <v>0.46490502540602208</v>
      </c>
      <c r="G779" s="5">
        <f t="shared" ca="1" si="52"/>
        <v>-2.3869459666302717E-2</v>
      </c>
    </row>
    <row r="780" spans="2:7" x14ac:dyDescent="0.25">
      <c r="B780" s="22">
        <v>775</v>
      </c>
      <c r="C780" s="4">
        <f t="shared" ca="1" si="50"/>
        <v>0.97143522017592532</v>
      </c>
      <c r="D780" s="5">
        <f t="shared" ca="1" si="50"/>
        <v>0.39098152267280661</v>
      </c>
      <c r="E780">
        <f t="shared" ca="1" si="53"/>
        <v>0</v>
      </c>
      <c r="F780" s="4">
        <f t="shared" ca="1" si="51"/>
        <v>0</v>
      </c>
      <c r="G780" s="5">
        <f t="shared" ca="1" si="52"/>
        <v>0</v>
      </c>
    </row>
    <row r="781" spans="2:7" x14ac:dyDescent="0.25">
      <c r="B781" s="22">
        <v>776</v>
      </c>
      <c r="C781" s="4">
        <f t="shared" ca="1" si="50"/>
        <v>0.40235017555472874</v>
      </c>
      <c r="D781" s="5">
        <f t="shared" ca="1" si="50"/>
        <v>-0.95249346536671342</v>
      </c>
      <c r="E781">
        <f t="shared" ca="1" si="53"/>
        <v>0</v>
      </c>
      <c r="F781" s="4">
        <f t="shared" ca="1" si="51"/>
        <v>0</v>
      </c>
      <c r="G781" s="5">
        <f t="shared" ca="1" si="52"/>
        <v>0</v>
      </c>
    </row>
    <row r="782" spans="2:7" x14ac:dyDescent="0.25">
      <c r="B782" s="22">
        <v>777</v>
      </c>
      <c r="C782" s="4">
        <f t="shared" ca="1" si="50"/>
        <v>-0.78780352790935937</v>
      </c>
      <c r="D782" s="5">
        <f t="shared" ca="1" si="50"/>
        <v>-6.0388255142228342E-2</v>
      </c>
      <c r="E782">
        <f t="shared" ca="1" si="53"/>
        <v>1</v>
      </c>
      <c r="F782" s="4">
        <f t="shared" ca="1" si="51"/>
        <v>-0.78780352790935937</v>
      </c>
      <c r="G782" s="5">
        <f t="shared" ca="1" si="52"/>
        <v>-6.0388255142228342E-2</v>
      </c>
    </row>
    <row r="783" spans="2:7" x14ac:dyDescent="0.25">
      <c r="B783" s="22">
        <v>778</v>
      </c>
      <c r="C783" s="4">
        <f t="shared" ca="1" si="50"/>
        <v>0.13491156678787619</v>
      </c>
      <c r="D783" s="5">
        <f t="shared" ca="1" si="50"/>
        <v>0.17969086878050966</v>
      </c>
      <c r="E783">
        <f t="shared" ca="1" si="53"/>
        <v>1</v>
      </c>
      <c r="F783" s="4">
        <f t="shared" ca="1" si="51"/>
        <v>0.13491156678787619</v>
      </c>
      <c r="G783" s="5">
        <f t="shared" ca="1" si="52"/>
        <v>0.17969086878050966</v>
      </c>
    </row>
    <row r="784" spans="2:7" x14ac:dyDescent="0.25">
      <c r="B784" s="22">
        <v>779</v>
      </c>
      <c r="C784" s="4">
        <f t="shared" ca="1" si="50"/>
        <v>-4.9738143382614064E-2</v>
      </c>
      <c r="D784" s="5">
        <f t="shared" ca="1" si="50"/>
        <v>0.63776971581086594</v>
      </c>
      <c r="E784">
        <f t="shared" ca="1" si="53"/>
        <v>1</v>
      </c>
      <c r="F784" s="4">
        <f t="shared" ca="1" si="51"/>
        <v>-4.9738143382614064E-2</v>
      </c>
      <c r="G784" s="5">
        <f t="shared" ca="1" si="52"/>
        <v>0.63776971581086594</v>
      </c>
    </row>
    <row r="785" spans="2:7" x14ac:dyDescent="0.25">
      <c r="B785" s="22">
        <v>780</v>
      </c>
      <c r="C785" s="4">
        <f t="shared" ca="1" si="50"/>
        <v>-8.7106628792336327E-2</v>
      </c>
      <c r="D785" s="5">
        <f t="shared" ca="1" si="50"/>
        <v>0.88079878507932707</v>
      </c>
      <c r="E785">
        <f t="shared" ca="1" si="53"/>
        <v>1</v>
      </c>
      <c r="F785" s="4">
        <f t="shared" ca="1" si="51"/>
        <v>-8.7106628792336327E-2</v>
      </c>
      <c r="G785" s="5">
        <f t="shared" ca="1" si="52"/>
        <v>0.88079878507932707</v>
      </c>
    </row>
    <row r="786" spans="2:7" x14ac:dyDescent="0.25">
      <c r="B786" s="22">
        <v>781</v>
      </c>
      <c r="C786" s="4">
        <f t="shared" ca="1" si="50"/>
        <v>0.96826043459081657</v>
      </c>
      <c r="D786" s="5">
        <f t="shared" ca="1" si="50"/>
        <v>0.93406901579371659</v>
      </c>
      <c r="E786">
        <f t="shared" ca="1" si="53"/>
        <v>0</v>
      </c>
      <c r="F786" s="4">
        <f t="shared" ca="1" si="51"/>
        <v>0</v>
      </c>
      <c r="G786" s="5">
        <f t="shared" ca="1" si="52"/>
        <v>0</v>
      </c>
    </row>
    <row r="787" spans="2:7" x14ac:dyDescent="0.25">
      <c r="B787" s="22">
        <v>782</v>
      </c>
      <c r="C787" s="4">
        <f t="shared" ca="1" si="50"/>
        <v>-0.2129901293958063</v>
      </c>
      <c r="D787" s="5">
        <f t="shared" ca="1" si="50"/>
        <v>0.37391003957201119</v>
      </c>
      <c r="E787">
        <f t="shared" ca="1" si="53"/>
        <v>1</v>
      </c>
      <c r="F787" s="4">
        <f t="shared" ca="1" si="51"/>
        <v>-0.2129901293958063</v>
      </c>
      <c r="G787" s="5">
        <f t="shared" ca="1" si="52"/>
        <v>0.37391003957201119</v>
      </c>
    </row>
    <row r="788" spans="2:7" x14ac:dyDescent="0.25">
      <c r="B788" s="22">
        <v>783</v>
      </c>
      <c r="C788" s="4">
        <f t="shared" ca="1" si="50"/>
        <v>0.98719128813811641</v>
      </c>
      <c r="D788" s="5">
        <f t="shared" ca="1" si="50"/>
        <v>-0.69625387197658317</v>
      </c>
      <c r="E788">
        <f t="shared" ca="1" si="53"/>
        <v>0</v>
      </c>
      <c r="F788" s="4">
        <f t="shared" ca="1" si="51"/>
        <v>0</v>
      </c>
      <c r="G788" s="5">
        <f t="shared" ca="1" si="52"/>
        <v>0</v>
      </c>
    </row>
    <row r="789" spans="2:7" x14ac:dyDescent="0.25">
      <c r="B789" s="22">
        <v>784</v>
      </c>
      <c r="C789" s="4">
        <f t="shared" ca="1" si="50"/>
        <v>-0.28894973707774363</v>
      </c>
      <c r="D789" s="5">
        <f t="shared" ca="1" si="50"/>
        <v>-0.36912007999504781</v>
      </c>
      <c r="E789">
        <f t="shared" ca="1" si="53"/>
        <v>1</v>
      </c>
      <c r="F789" s="4">
        <f t="shared" ca="1" si="51"/>
        <v>-0.28894973707774363</v>
      </c>
      <c r="G789" s="5">
        <f t="shared" ca="1" si="52"/>
        <v>-0.36912007999504781</v>
      </c>
    </row>
    <row r="790" spans="2:7" x14ac:dyDescent="0.25">
      <c r="B790" s="22">
        <v>785</v>
      </c>
      <c r="C790" s="4">
        <f t="shared" ca="1" si="50"/>
        <v>0.82099249297582544</v>
      </c>
      <c r="D790" s="5">
        <f t="shared" ca="1" si="50"/>
        <v>-0.7996766019312429</v>
      </c>
      <c r="E790">
        <f t="shared" ca="1" si="53"/>
        <v>0</v>
      </c>
      <c r="F790" s="4">
        <f t="shared" ca="1" si="51"/>
        <v>0</v>
      </c>
      <c r="G790" s="5">
        <f t="shared" ca="1" si="52"/>
        <v>0</v>
      </c>
    </row>
    <row r="791" spans="2:7" x14ac:dyDescent="0.25">
      <c r="B791" s="22">
        <v>786</v>
      </c>
      <c r="C791" s="4">
        <f t="shared" ref="C791:D854" ca="1" si="54">1-2*RAND()</f>
        <v>-0.85953912901045082</v>
      </c>
      <c r="D791" s="5">
        <f t="shared" ca="1" si="54"/>
        <v>-0.12340751507512304</v>
      </c>
      <c r="E791">
        <f t="shared" ca="1" si="53"/>
        <v>1</v>
      </c>
      <c r="F791" s="4">
        <f t="shared" ca="1" si="51"/>
        <v>-0.85953912901045082</v>
      </c>
      <c r="G791" s="5">
        <f t="shared" ca="1" si="52"/>
        <v>-0.12340751507512304</v>
      </c>
    </row>
    <row r="792" spans="2:7" x14ac:dyDescent="0.25">
      <c r="B792" s="22">
        <v>787</v>
      </c>
      <c r="C792" s="4">
        <f t="shared" ca="1" si="54"/>
        <v>-0.35482450811750876</v>
      </c>
      <c r="D792" s="5">
        <f t="shared" ca="1" si="54"/>
        <v>0.90927974230882125</v>
      </c>
      <c r="E792">
        <f t="shared" ca="1" si="53"/>
        <v>1</v>
      </c>
      <c r="F792" s="4">
        <f t="shared" ca="1" si="51"/>
        <v>-0.35482450811750876</v>
      </c>
      <c r="G792" s="5">
        <f t="shared" ca="1" si="52"/>
        <v>0.90927974230882125</v>
      </c>
    </row>
    <row r="793" spans="2:7" x14ac:dyDescent="0.25">
      <c r="B793" s="22">
        <v>788</v>
      </c>
      <c r="C793" s="4">
        <f t="shared" ca="1" si="54"/>
        <v>0.535080070576474</v>
      </c>
      <c r="D793" s="5">
        <f t="shared" ca="1" si="54"/>
        <v>0.66667150516662099</v>
      </c>
      <c r="E793">
        <f t="shared" ca="1" si="53"/>
        <v>1</v>
      </c>
      <c r="F793" s="4">
        <f t="shared" ca="1" si="51"/>
        <v>0.535080070576474</v>
      </c>
      <c r="G793" s="5">
        <f t="shared" ca="1" si="52"/>
        <v>0.66667150516662099</v>
      </c>
    </row>
    <row r="794" spans="2:7" x14ac:dyDescent="0.25">
      <c r="B794" s="22">
        <v>789</v>
      </c>
      <c r="C794" s="4">
        <f t="shared" ca="1" si="54"/>
        <v>-0.25909047286927955</v>
      </c>
      <c r="D794" s="5">
        <f t="shared" ca="1" si="54"/>
        <v>8.4437239837200639E-2</v>
      </c>
      <c r="E794">
        <f t="shared" ca="1" si="53"/>
        <v>1</v>
      </c>
      <c r="F794" s="4">
        <f t="shared" ca="1" si="51"/>
        <v>-0.25909047286927955</v>
      </c>
      <c r="G794" s="5">
        <f t="shared" ca="1" si="52"/>
        <v>8.4437239837200639E-2</v>
      </c>
    </row>
    <row r="795" spans="2:7" x14ac:dyDescent="0.25">
      <c r="B795" s="22">
        <v>790</v>
      </c>
      <c r="C795" s="4">
        <f t="shared" ca="1" si="54"/>
        <v>1.6206171335702457E-2</v>
      </c>
      <c r="D795" s="5">
        <f t="shared" ca="1" si="54"/>
        <v>-0.83619936759501612</v>
      </c>
      <c r="E795">
        <f t="shared" ca="1" si="53"/>
        <v>1</v>
      </c>
      <c r="F795" s="4">
        <f t="shared" ca="1" si="51"/>
        <v>1.6206171335702457E-2</v>
      </c>
      <c r="G795" s="5">
        <f t="shared" ca="1" si="52"/>
        <v>-0.83619936759501612</v>
      </c>
    </row>
    <row r="796" spans="2:7" x14ac:dyDescent="0.25">
      <c r="B796" s="22">
        <v>791</v>
      </c>
      <c r="C796" s="4">
        <f t="shared" ca="1" si="54"/>
        <v>-0.51534157779183132</v>
      </c>
      <c r="D796" s="5">
        <f t="shared" ca="1" si="54"/>
        <v>-0.59279932251120626</v>
      </c>
      <c r="E796">
        <f t="shared" ca="1" si="53"/>
        <v>1</v>
      </c>
      <c r="F796" s="4">
        <f t="shared" ca="1" si="51"/>
        <v>-0.51534157779183132</v>
      </c>
      <c r="G796" s="5">
        <f t="shared" ca="1" si="52"/>
        <v>-0.59279932251120626</v>
      </c>
    </row>
    <row r="797" spans="2:7" x14ac:dyDescent="0.25">
      <c r="B797" s="22">
        <v>792</v>
      </c>
      <c r="C797" s="4">
        <f t="shared" ca="1" si="54"/>
        <v>-0.78926336939252395</v>
      </c>
      <c r="D797" s="5">
        <f t="shared" ca="1" si="54"/>
        <v>-0.70996077022948767</v>
      </c>
      <c r="E797">
        <f t="shared" ca="1" si="53"/>
        <v>0</v>
      </c>
      <c r="F797" s="4">
        <f t="shared" ca="1" si="51"/>
        <v>0</v>
      </c>
      <c r="G797" s="5">
        <f t="shared" ca="1" si="52"/>
        <v>0</v>
      </c>
    </row>
    <row r="798" spans="2:7" x14ac:dyDescent="0.25">
      <c r="B798" s="22">
        <v>793</v>
      </c>
      <c r="C798" s="4">
        <f t="shared" ca="1" si="54"/>
        <v>0.37418673581471706</v>
      </c>
      <c r="D798" s="5">
        <f t="shared" ca="1" si="54"/>
        <v>0.65073922366006887</v>
      </c>
      <c r="E798">
        <f t="shared" ca="1" si="53"/>
        <v>1</v>
      </c>
      <c r="F798" s="4">
        <f t="shared" ca="1" si="51"/>
        <v>0.37418673581471706</v>
      </c>
      <c r="G798" s="5">
        <f t="shared" ca="1" si="52"/>
        <v>0.65073922366006887</v>
      </c>
    </row>
    <row r="799" spans="2:7" x14ac:dyDescent="0.25">
      <c r="B799" s="22">
        <v>794</v>
      </c>
      <c r="C799" s="4">
        <f t="shared" ca="1" si="54"/>
        <v>-0.79044117707200168</v>
      </c>
      <c r="D799" s="5">
        <f t="shared" ca="1" si="54"/>
        <v>0.86315688549727931</v>
      </c>
      <c r="E799">
        <f t="shared" ca="1" si="53"/>
        <v>0</v>
      </c>
      <c r="F799" s="4">
        <f t="shared" ca="1" si="51"/>
        <v>0</v>
      </c>
      <c r="G799" s="5">
        <f t="shared" ca="1" si="52"/>
        <v>0</v>
      </c>
    </row>
    <row r="800" spans="2:7" x14ac:dyDescent="0.25">
      <c r="B800" s="22">
        <v>795</v>
      </c>
      <c r="C800" s="4">
        <f t="shared" ca="1" si="54"/>
        <v>-0.52094045838622582</v>
      </c>
      <c r="D800" s="5">
        <f t="shared" ca="1" si="54"/>
        <v>-0.28686647688307954</v>
      </c>
      <c r="E800">
        <f t="shared" ca="1" si="53"/>
        <v>1</v>
      </c>
      <c r="F800" s="4">
        <f t="shared" ca="1" si="51"/>
        <v>-0.52094045838622582</v>
      </c>
      <c r="G800" s="5">
        <f t="shared" ca="1" si="52"/>
        <v>-0.28686647688307954</v>
      </c>
    </row>
    <row r="801" spans="2:7" x14ac:dyDescent="0.25">
      <c r="B801" s="22">
        <v>796</v>
      </c>
      <c r="C801" s="4">
        <f t="shared" ca="1" si="54"/>
        <v>0.46001510390292299</v>
      </c>
      <c r="D801" s="5">
        <f t="shared" ca="1" si="54"/>
        <v>0.44526742879823522</v>
      </c>
      <c r="E801">
        <f t="shared" ca="1" si="53"/>
        <v>1</v>
      </c>
      <c r="F801" s="4">
        <f t="shared" ca="1" si="51"/>
        <v>0.46001510390292299</v>
      </c>
      <c r="G801" s="5">
        <f t="shared" ca="1" si="52"/>
        <v>0.44526742879823522</v>
      </c>
    </row>
    <row r="802" spans="2:7" x14ac:dyDescent="0.25">
      <c r="B802" s="22">
        <v>797</v>
      </c>
      <c r="C802" s="4">
        <f t="shared" ca="1" si="54"/>
        <v>0.87891428514576475</v>
      </c>
      <c r="D802" s="5">
        <f t="shared" ca="1" si="54"/>
        <v>0.18077377856223076</v>
      </c>
      <c r="E802">
        <f t="shared" ca="1" si="53"/>
        <v>1</v>
      </c>
      <c r="F802" s="4">
        <f t="shared" ca="1" si="51"/>
        <v>0.87891428514576475</v>
      </c>
      <c r="G802" s="5">
        <f t="shared" ca="1" si="52"/>
        <v>0.18077377856223076</v>
      </c>
    </row>
    <row r="803" spans="2:7" x14ac:dyDescent="0.25">
      <c r="B803" s="22">
        <v>798</v>
      </c>
      <c r="C803" s="4">
        <f t="shared" ca="1" si="54"/>
        <v>-0.81759997322431066</v>
      </c>
      <c r="D803" s="5">
        <f t="shared" ca="1" si="54"/>
        <v>0.21532760536868989</v>
      </c>
      <c r="E803">
        <f t="shared" ca="1" si="53"/>
        <v>1</v>
      </c>
      <c r="F803" s="4">
        <f t="shared" ca="1" si="51"/>
        <v>-0.81759997322431066</v>
      </c>
      <c r="G803" s="5">
        <f t="shared" ca="1" si="52"/>
        <v>0.21532760536868989</v>
      </c>
    </row>
    <row r="804" spans="2:7" x14ac:dyDescent="0.25">
      <c r="B804" s="22">
        <v>799</v>
      </c>
      <c r="C804" s="4">
        <f t="shared" ca="1" si="54"/>
        <v>0.4922969072052803</v>
      </c>
      <c r="D804" s="5">
        <f t="shared" ca="1" si="54"/>
        <v>0.44470208688120039</v>
      </c>
      <c r="E804">
        <f t="shared" ca="1" si="53"/>
        <v>1</v>
      </c>
      <c r="F804" s="4">
        <f t="shared" ca="1" si="51"/>
        <v>0.4922969072052803</v>
      </c>
      <c r="G804" s="5">
        <f t="shared" ca="1" si="52"/>
        <v>0.44470208688120039</v>
      </c>
    </row>
    <row r="805" spans="2:7" x14ac:dyDescent="0.25">
      <c r="B805" s="22">
        <v>800</v>
      </c>
      <c r="C805" s="4">
        <f t="shared" ca="1" si="54"/>
        <v>0.65317747403647131</v>
      </c>
      <c r="D805" s="5">
        <f t="shared" ca="1" si="54"/>
        <v>-0.62060094894171303</v>
      </c>
      <c r="E805">
        <f t="shared" ca="1" si="53"/>
        <v>1</v>
      </c>
      <c r="F805" s="4">
        <f t="shared" ca="1" si="51"/>
        <v>0.65317747403647131</v>
      </c>
      <c r="G805" s="5">
        <f t="shared" ca="1" si="52"/>
        <v>-0.62060094894171303</v>
      </c>
    </row>
    <row r="806" spans="2:7" x14ac:dyDescent="0.25">
      <c r="B806" s="22">
        <v>801</v>
      </c>
      <c r="C806" s="4">
        <f t="shared" ca="1" si="54"/>
        <v>2.3104449984610476E-2</v>
      </c>
      <c r="D806" s="5">
        <f t="shared" ca="1" si="54"/>
        <v>0.86398458507888098</v>
      </c>
      <c r="E806">
        <f t="shared" ca="1" si="53"/>
        <v>1</v>
      </c>
      <c r="F806" s="4">
        <f t="shared" ca="1" si="51"/>
        <v>2.3104449984610476E-2</v>
      </c>
      <c r="G806" s="5">
        <f t="shared" ca="1" si="52"/>
        <v>0.86398458507888098</v>
      </c>
    </row>
    <row r="807" spans="2:7" x14ac:dyDescent="0.25">
      <c r="B807" s="22">
        <v>802</v>
      </c>
      <c r="C807" s="4">
        <f t="shared" ca="1" si="54"/>
        <v>-0.96688266655759958</v>
      </c>
      <c r="D807" s="5">
        <f t="shared" ca="1" si="54"/>
        <v>0.79172982437493133</v>
      </c>
      <c r="E807">
        <f t="shared" ca="1" si="53"/>
        <v>0</v>
      </c>
      <c r="F807" s="4">
        <f t="shared" ca="1" si="51"/>
        <v>0</v>
      </c>
      <c r="G807" s="5">
        <f t="shared" ca="1" si="52"/>
        <v>0</v>
      </c>
    </row>
    <row r="808" spans="2:7" x14ac:dyDescent="0.25">
      <c r="B808" s="22">
        <v>803</v>
      </c>
      <c r="C808" s="4">
        <f t="shared" ca="1" si="54"/>
        <v>0.71415763238816221</v>
      </c>
      <c r="D808" s="5">
        <f t="shared" ca="1" si="54"/>
        <v>-0.17401801520311522</v>
      </c>
      <c r="E808">
        <f t="shared" ca="1" si="53"/>
        <v>1</v>
      </c>
      <c r="F808" s="4">
        <f t="shared" ca="1" si="51"/>
        <v>0.71415763238816221</v>
      </c>
      <c r="G808" s="5">
        <f t="shared" ca="1" si="52"/>
        <v>-0.17401801520311522</v>
      </c>
    </row>
    <row r="809" spans="2:7" x14ac:dyDescent="0.25">
      <c r="B809" s="22">
        <v>804</v>
      </c>
      <c r="C809" s="4">
        <f t="shared" ca="1" si="54"/>
        <v>-0.21521393064977179</v>
      </c>
      <c r="D809" s="5">
        <f t="shared" ca="1" si="54"/>
        <v>0.69228039186537393</v>
      </c>
      <c r="E809">
        <f t="shared" ca="1" si="53"/>
        <v>1</v>
      </c>
      <c r="F809" s="4">
        <f t="shared" ca="1" si="51"/>
        <v>-0.21521393064977179</v>
      </c>
      <c r="G809" s="5">
        <f t="shared" ca="1" si="52"/>
        <v>0.69228039186537393</v>
      </c>
    </row>
    <row r="810" spans="2:7" x14ac:dyDescent="0.25">
      <c r="B810" s="22">
        <v>805</v>
      </c>
      <c r="C810" s="4">
        <f t="shared" ca="1" si="54"/>
        <v>-0.32127528016940166</v>
      </c>
      <c r="D810" s="5">
        <f t="shared" ca="1" si="54"/>
        <v>-0.35301715421170199</v>
      </c>
      <c r="E810">
        <f t="shared" ca="1" si="53"/>
        <v>1</v>
      </c>
      <c r="F810" s="4">
        <f t="shared" ca="1" si="51"/>
        <v>-0.32127528016940166</v>
      </c>
      <c r="G810" s="5">
        <f t="shared" ca="1" si="52"/>
        <v>-0.35301715421170199</v>
      </c>
    </row>
    <row r="811" spans="2:7" x14ac:dyDescent="0.25">
      <c r="B811" s="22">
        <v>806</v>
      </c>
      <c r="C811" s="4">
        <f t="shared" ca="1" si="54"/>
        <v>-0.21051890471799473</v>
      </c>
      <c r="D811" s="5">
        <f t="shared" ca="1" si="54"/>
        <v>0.59702742244390095</v>
      </c>
      <c r="E811">
        <f t="shared" ca="1" si="53"/>
        <v>1</v>
      </c>
      <c r="F811" s="4">
        <f t="shared" ca="1" si="51"/>
        <v>-0.21051890471799473</v>
      </c>
      <c r="G811" s="5">
        <f t="shared" ca="1" si="52"/>
        <v>0.59702742244390095</v>
      </c>
    </row>
    <row r="812" spans="2:7" x14ac:dyDescent="0.25">
      <c r="B812" s="22">
        <v>807</v>
      </c>
      <c r="C812" s="4">
        <f t="shared" ca="1" si="54"/>
        <v>0.34449367844870027</v>
      </c>
      <c r="D812" s="5">
        <f t="shared" ca="1" si="54"/>
        <v>0.6415771111198314</v>
      </c>
      <c r="E812">
        <f t="shared" ca="1" si="53"/>
        <v>1</v>
      </c>
      <c r="F812" s="4">
        <f t="shared" ca="1" si="51"/>
        <v>0.34449367844870027</v>
      </c>
      <c r="G812" s="5">
        <f t="shared" ca="1" si="52"/>
        <v>0.6415771111198314</v>
      </c>
    </row>
    <row r="813" spans="2:7" x14ac:dyDescent="0.25">
      <c r="B813" s="22">
        <v>808</v>
      </c>
      <c r="C813" s="4">
        <f t="shared" ca="1" si="54"/>
        <v>0.58739551663131584</v>
      </c>
      <c r="D813" s="5">
        <f t="shared" ca="1" si="54"/>
        <v>-0.25799764022794158</v>
      </c>
      <c r="E813">
        <f t="shared" ca="1" si="53"/>
        <v>1</v>
      </c>
      <c r="F813" s="4">
        <f t="shared" ca="1" si="51"/>
        <v>0.58739551663131584</v>
      </c>
      <c r="G813" s="5">
        <f t="shared" ca="1" si="52"/>
        <v>-0.25799764022794158</v>
      </c>
    </row>
    <row r="814" spans="2:7" x14ac:dyDescent="0.25">
      <c r="B814" s="22">
        <v>809</v>
      </c>
      <c r="C814" s="4">
        <f t="shared" ca="1" si="54"/>
        <v>0.47980626209984845</v>
      </c>
      <c r="D814" s="5">
        <f t="shared" ca="1" si="54"/>
        <v>0.67249434168942246</v>
      </c>
      <c r="E814">
        <f t="shared" ca="1" si="53"/>
        <v>1</v>
      </c>
      <c r="F814" s="4">
        <f t="shared" ca="1" si="51"/>
        <v>0.47980626209984845</v>
      </c>
      <c r="G814" s="5">
        <f t="shared" ca="1" si="52"/>
        <v>0.67249434168942246</v>
      </c>
    </row>
    <row r="815" spans="2:7" x14ac:dyDescent="0.25">
      <c r="B815" s="22">
        <v>810</v>
      </c>
      <c r="C815" s="4">
        <f t="shared" ca="1" si="54"/>
        <v>0.16133051797760478</v>
      </c>
      <c r="D815" s="5">
        <f t="shared" ca="1" si="54"/>
        <v>-0.45140578597354164</v>
      </c>
      <c r="E815">
        <f t="shared" ca="1" si="53"/>
        <v>1</v>
      </c>
      <c r="F815" s="4">
        <f t="shared" ca="1" si="51"/>
        <v>0.16133051797760478</v>
      </c>
      <c r="G815" s="5">
        <f t="shared" ca="1" si="52"/>
        <v>-0.45140578597354164</v>
      </c>
    </row>
    <row r="816" spans="2:7" x14ac:dyDescent="0.25">
      <c r="B816" s="22">
        <v>811</v>
      </c>
      <c r="C816" s="4">
        <f t="shared" ca="1" si="54"/>
        <v>-2.3187885420027143E-2</v>
      </c>
      <c r="D816" s="5">
        <f t="shared" ca="1" si="54"/>
        <v>-0.93264279758713942</v>
      </c>
      <c r="E816">
        <f t="shared" ca="1" si="53"/>
        <v>1</v>
      </c>
      <c r="F816" s="4">
        <f t="shared" ca="1" si="51"/>
        <v>-2.3187885420027143E-2</v>
      </c>
      <c r="G816" s="5">
        <f t="shared" ca="1" si="52"/>
        <v>-0.93264279758713942</v>
      </c>
    </row>
    <row r="817" spans="2:7" x14ac:dyDescent="0.25">
      <c r="B817" s="22">
        <v>812</v>
      </c>
      <c r="C817" s="4">
        <f t="shared" ca="1" si="54"/>
        <v>-0.4448109349686884</v>
      </c>
      <c r="D817" s="5">
        <f t="shared" ca="1" si="54"/>
        <v>0.30703175214870071</v>
      </c>
      <c r="E817">
        <f t="shared" ca="1" si="53"/>
        <v>1</v>
      </c>
      <c r="F817" s="4">
        <f t="shared" ca="1" si="51"/>
        <v>-0.4448109349686884</v>
      </c>
      <c r="G817" s="5">
        <f t="shared" ca="1" si="52"/>
        <v>0.30703175214870071</v>
      </c>
    </row>
    <row r="818" spans="2:7" x14ac:dyDescent="0.25">
      <c r="B818" s="22">
        <v>813</v>
      </c>
      <c r="C818" s="4">
        <f t="shared" ca="1" si="54"/>
        <v>-0.13787182735392656</v>
      </c>
      <c r="D818" s="5">
        <f t="shared" ca="1" si="54"/>
        <v>0.15637798473139952</v>
      </c>
      <c r="E818">
        <f t="shared" ca="1" si="53"/>
        <v>1</v>
      </c>
      <c r="F818" s="4">
        <f t="shared" ca="1" si="51"/>
        <v>-0.13787182735392656</v>
      </c>
      <c r="G818" s="5">
        <f t="shared" ca="1" si="52"/>
        <v>0.15637798473139952</v>
      </c>
    </row>
    <row r="819" spans="2:7" x14ac:dyDescent="0.25">
      <c r="B819" s="22">
        <v>814</v>
      </c>
      <c r="C819" s="4">
        <f t="shared" ca="1" si="54"/>
        <v>-0.36338151274546737</v>
      </c>
      <c r="D819" s="5">
        <f t="shared" ca="1" si="54"/>
        <v>0.25418597581945779</v>
      </c>
      <c r="E819">
        <f t="shared" ca="1" si="53"/>
        <v>1</v>
      </c>
      <c r="F819" s="4">
        <f t="shared" ca="1" si="51"/>
        <v>-0.36338151274546737</v>
      </c>
      <c r="G819" s="5">
        <f t="shared" ca="1" si="52"/>
        <v>0.25418597581945779</v>
      </c>
    </row>
    <row r="820" spans="2:7" x14ac:dyDescent="0.25">
      <c r="B820" s="22">
        <v>815</v>
      </c>
      <c r="C820" s="4">
        <f t="shared" ca="1" si="54"/>
        <v>0.97043988866085407</v>
      </c>
      <c r="D820" s="5">
        <f t="shared" ca="1" si="54"/>
        <v>0.69781540071458514</v>
      </c>
      <c r="E820">
        <f t="shared" ca="1" si="53"/>
        <v>0</v>
      </c>
      <c r="F820" s="4">
        <f t="shared" ca="1" si="51"/>
        <v>0</v>
      </c>
      <c r="G820" s="5">
        <f t="shared" ca="1" si="52"/>
        <v>0</v>
      </c>
    </row>
    <row r="821" spans="2:7" x14ac:dyDescent="0.25">
      <c r="B821" s="22">
        <v>816</v>
      </c>
      <c r="C821" s="4">
        <f t="shared" ca="1" si="54"/>
        <v>0.79625934957134725</v>
      </c>
      <c r="D821" s="5">
        <f t="shared" ca="1" si="54"/>
        <v>1.6704801685163195E-2</v>
      </c>
      <c r="E821">
        <f t="shared" ca="1" si="53"/>
        <v>1</v>
      </c>
      <c r="F821" s="4">
        <f t="shared" ca="1" si="51"/>
        <v>0.79625934957134725</v>
      </c>
      <c r="G821" s="5">
        <f t="shared" ca="1" si="52"/>
        <v>1.6704801685163195E-2</v>
      </c>
    </row>
    <row r="822" spans="2:7" x14ac:dyDescent="0.25">
      <c r="B822" s="22">
        <v>817</v>
      </c>
      <c r="C822" s="4">
        <f t="shared" ca="1" si="54"/>
        <v>9.8125933214610273E-2</v>
      </c>
      <c r="D822" s="5">
        <f t="shared" ca="1" si="54"/>
        <v>0.15021133682833887</v>
      </c>
      <c r="E822">
        <f t="shared" ca="1" si="53"/>
        <v>1</v>
      </c>
      <c r="F822" s="4">
        <f t="shared" ca="1" si="51"/>
        <v>9.8125933214610273E-2</v>
      </c>
      <c r="G822" s="5">
        <f t="shared" ca="1" si="52"/>
        <v>0.15021133682833887</v>
      </c>
    </row>
    <row r="823" spans="2:7" x14ac:dyDescent="0.25">
      <c r="B823" s="22">
        <v>818</v>
      </c>
      <c r="C823" s="4">
        <f t="shared" ca="1" si="54"/>
        <v>-0.18646710398995947</v>
      </c>
      <c r="D823" s="5">
        <f t="shared" ca="1" si="54"/>
        <v>-0.35025732461275405</v>
      </c>
      <c r="E823">
        <f t="shared" ca="1" si="53"/>
        <v>1</v>
      </c>
      <c r="F823" s="4">
        <f t="shared" ca="1" si="51"/>
        <v>-0.18646710398995947</v>
      </c>
      <c r="G823" s="5">
        <f t="shared" ca="1" si="52"/>
        <v>-0.35025732461275405</v>
      </c>
    </row>
    <row r="824" spans="2:7" x14ac:dyDescent="0.25">
      <c r="B824" s="22">
        <v>819</v>
      </c>
      <c r="C824" s="4">
        <f t="shared" ca="1" si="54"/>
        <v>0.52559951117485282</v>
      </c>
      <c r="D824" s="5">
        <f t="shared" ca="1" si="54"/>
        <v>0.27435289109799355</v>
      </c>
      <c r="E824">
        <f t="shared" ca="1" si="53"/>
        <v>1</v>
      </c>
      <c r="F824" s="4">
        <f t="shared" ca="1" si="51"/>
        <v>0.52559951117485282</v>
      </c>
      <c r="G824" s="5">
        <f t="shared" ca="1" si="52"/>
        <v>0.27435289109799355</v>
      </c>
    </row>
    <row r="825" spans="2:7" x14ac:dyDescent="0.25">
      <c r="B825" s="22">
        <v>820</v>
      </c>
      <c r="C825" s="4">
        <f t="shared" ca="1" si="54"/>
        <v>-5.8721234054555316E-2</v>
      </c>
      <c r="D825" s="5">
        <f t="shared" ca="1" si="54"/>
        <v>-4.7786392524043153E-2</v>
      </c>
      <c r="E825">
        <f t="shared" ca="1" si="53"/>
        <v>1</v>
      </c>
      <c r="F825" s="4">
        <f t="shared" ca="1" si="51"/>
        <v>-5.8721234054555316E-2</v>
      </c>
      <c r="G825" s="5">
        <f t="shared" ca="1" si="52"/>
        <v>-4.7786392524043153E-2</v>
      </c>
    </row>
    <row r="826" spans="2:7" x14ac:dyDescent="0.25">
      <c r="B826" s="22">
        <v>821</v>
      </c>
      <c r="C826" s="4">
        <f t="shared" ca="1" si="54"/>
        <v>-5.0705206958470139E-3</v>
      </c>
      <c r="D826" s="5">
        <f t="shared" ca="1" si="54"/>
        <v>0.14762231093361833</v>
      </c>
      <c r="E826">
        <f t="shared" ca="1" si="53"/>
        <v>1</v>
      </c>
      <c r="F826" s="4">
        <f t="shared" ca="1" si="51"/>
        <v>-5.0705206958470139E-3</v>
      </c>
      <c r="G826" s="5">
        <f t="shared" ca="1" si="52"/>
        <v>0.14762231093361833</v>
      </c>
    </row>
    <row r="827" spans="2:7" x14ac:dyDescent="0.25">
      <c r="B827" s="22">
        <v>822</v>
      </c>
      <c r="C827" s="4">
        <f t="shared" ca="1" si="54"/>
        <v>0.47837887787788969</v>
      </c>
      <c r="D827" s="5">
        <f t="shared" ca="1" si="54"/>
        <v>0.20687197740627128</v>
      </c>
      <c r="E827">
        <f t="shared" ca="1" si="53"/>
        <v>1</v>
      </c>
      <c r="F827" s="4">
        <f t="shared" ca="1" si="51"/>
        <v>0.47837887787788969</v>
      </c>
      <c r="G827" s="5">
        <f t="shared" ca="1" si="52"/>
        <v>0.20687197740627128</v>
      </c>
    </row>
    <row r="828" spans="2:7" x14ac:dyDescent="0.25">
      <c r="B828" s="22">
        <v>823</v>
      </c>
      <c r="C828" s="4">
        <f t="shared" ca="1" si="54"/>
        <v>0.67000364368309362</v>
      </c>
      <c r="D828" s="5">
        <f t="shared" ca="1" si="54"/>
        <v>-0.28802366959130454</v>
      </c>
      <c r="E828">
        <f t="shared" ca="1" si="53"/>
        <v>1</v>
      </c>
      <c r="F828" s="4">
        <f t="shared" ca="1" si="51"/>
        <v>0.67000364368309362</v>
      </c>
      <c r="G828" s="5">
        <f t="shared" ca="1" si="52"/>
        <v>-0.28802366959130454</v>
      </c>
    </row>
    <row r="829" spans="2:7" x14ac:dyDescent="0.25">
      <c r="B829" s="22">
        <v>824</v>
      </c>
      <c r="C829" s="4">
        <f t="shared" ca="1" si="54"/>
        <v>0.24382072934955223</v>
      </c>
      <c r="D829" s="5">
        <f t="shared" ca="1" si="54"/>
        <v>-0.43188590419504824</v>
      </c>
      <c r="E829">
        <f t="shared" ca="1" si="53"/>
        <v>1</v>
      </c>
      <c r="F829" s="4">
        <f t="shared" ca="1" si="51"/>
        <v>0.24382072934955223</v>
      </c>
      <c r="G829" s="5">
        <f t="shared" ca="1" si="52"/>
        <v>-0.43188590419504824</v>
      </c>
    </row>
    <row r="830" spans="2:7" x14ac:dyDescent="0.25">
      <c r="B830" s="22">
        <v>825</v>
      </c>
      <c r="C830" s="4">
        <f t="shared" ca="1" si="54"/>
        <v>-0.33083802729242096</v>
      </c>
      <c r="D830" s="5">
        <f t="shared" ca="1" si="54"/>
        <v>0.35240804519486413</v>
      </c>
      <c r="E830">
        <f t="shared" ca="1" si="53"/>
        <v>1</v>
      </c>
      <c r="F830" s="4">
        <f t="shared" ca="1" si="51"/>
        <v>-0.33083802729242096</v>
      </c>
      <c r="G830" s="5">
        <f t="shared" ca="1" si="52"/>
        <v>0.35240804519486413</v>
      </c>
    </row>
    <row r="831" spans="2:7" x14ac:dyDescent="0.25">
      <c r="B831" s="22">
        <v>826</v>
      </c>
      <c r="C831" s="4">
        <f t="shared" ca="1" si="54"/>
        <v>0.93740314874368069</v>
      </c>
      <c r="D831" s="5">
        <f t="shared" ca="1" si="54"/>
        <v>-0.2065566190777548</v>
      </c>
      <c r="E831">
        <f t="shared" ca="1" si="53"/>
        <v>1</v>
      </c>
      <c r="F831" s="4">
        <f t="shared" ca="1" si="51"/>
        <v>0.93740314874368069</v>
      </c>
      <c r="G831" s="5">
        <f t="shared" ca="1" si="52"/>
        <v>-0.2065566190777548</v>
      </c>
    </row>
    <row r="832" spans="2:7" x14ac:dyDescent="0.25">
      <c r="B832" s="22">
        <v>827</v>
      </c>
      <c r="C832" s="4">
        <f t="shared" ca="1" si="54"/>
        <v>0.11632214811929287</v>
      </c>
      <c r="D832" s="5">
        <f t="shared" ca="1" si="54"/>
        <v>-8.1640404712578496E-2</v>
      </c>
      <c r="E832">
        <f t="shared" ca="1" si="53"/>
        <v>1</v>
      </c>
      <c r="F832" s="4">
        <f t="shared" ca="1" si="51"/>
        <v>0.11632214811929287</v>
      </c>
      <c r="G832" s="5">
        <f t="shared" ca="1" si="52"/>
        <v>-8.1640404712578496E-2</v>
      </c>
    </row>
    <row r="833" spans="2:7" x14ac:dyDescent="0.25">
      <c r="B833" s="22">
        <v>828</v>
      </c>
      <c r="C833" s="4">
        <f t="shared" ca="1" si="54"/>
        <v>-0.93854311707201643</v>
      </c>
      <c r="D833" s="5">
        <f t="shared" ca="1" si="54"/>
        <v>0.99017338566620894</v>
      </c>
      <c r="E833">
        <f t="shared" ca="1" si="53"/>
        <v>0</v>
      </c>
      <c r="F833" s="4">
        <f t="shared" ca="1" si="51"/>
        <v>0</v>
      </c>
      <c r="G833" s="5">
        <f t="shared" ca="1" si="52"/>
        <v>0</v>
      </c>
    </row>
    <row r="834" spans="2:7" x14ac:dyDescent="0.25">
      <c r="B834" s="22">
        <v>829</v>
      </c>
      <c r="C834" s="4">
        <f t="shared" ca="1" si="54"/>
        <v>-0.30458131520609388</v>
      </c>
      <c r="D834" s="5">
        <f t="shared" ca="1" si="54"/>
        <v>-0.61014354118924241</v>
      </c>
      <c r="E834">
        <f t="shared" ca="1" si="53"/>
        <v>1</v>
      </c>
      <c r="F834" s="4">
        <f t="shared" ca="1" si="51"/>
        <v>-0.30458131520609388</v>
      </c>
      <c r="G834" s="5">
        <f t="shared" ca="1" si="52"/>
        <v>-0.61014354118924241</v>
      </c>
    </row>
    <row r="835" spans="2:7" x14ac:dyDescent="0.25">
      <c r="B835" s="22">
        <v>830</v>
      </c>
      <c r="C835" s="4">
        <f t="shared" ca="1" si="54"/>
        <v>-0.74131033431417293</v>
      </c>
      <c r="D835" s="5">
        <f t="shared" ca="1" si="54"/>
        <v>0.33016180859814193</v>
      </c>
      <c r="E835">
        <f t="shared" ca="1" si="53"/>
        <v>1</v>
      </c>
      <c r="F835" s="4">
        <f t="shared" ca="1" si="51"/>
        <v>-0.74131033431417293</v>
      </c>
      <c r="G835" s="5">
        <f t="shared" ca="1" si="52"/>
        <v>0.33016180859814193</v>
      </c>
    </row>
    <row r="836" spans="2:7" x14ac:dyDescent="0.25">
      <c r="B836" s="22">
        <v>831</v>
      </c>
      <c r="C836" s="4">
        <f t="shared" ca="1" si="54"/>
        <v>-0.34814954150315791</v>
      </c>
      <c r="D836" s="5">
        <f t="shared" ca="1" si="54"/>
        <v>-0.80093095268332615</v>
      </c>
      <c r="E836">
        <f t="shared" ca="1" si="53"/>
        <v>1</v>
      </c>
      <c r="F836" s="4">
        <f t="shared" ca="1" si="51"/>
        <v>-0.34814954150315791</v>
      </c>
      <c r="G836" s="5">
        <f t="shared" ca="1" si="52"/>
        <v>-0.80093095268332615</v>
      </c>
    </row>
    <row r="837" spans="2:7" x14ac:dyDescent="0.25">
      <c r="B837" s="22">
        <v>832</v>
      </c>
      <c r="C837" s="4">
        <f t="shared" ca="1" si="54"/>
        <v>0.21769029065295165</v>
      </c>
      <c r="D837" s="5">
        <f t="shared" ca="1" si="54"/>
        <v>-0.21351133094509911</v>
      </c>
      <c r="E837">
        <f t="shared" ca="1" si="53"/>
        <v>1</v>
      </c>
      <c r="F837" s="4">
        <f t="shared" ca="1" si="51"/>
        <v>0.21769029065295165</v>
      </c>
      <c r="G837" s="5">
        <f t="shared" ca="1" si="52"/>
        <v>-0.21351133094509911</v>
      </c>
    </row>
    <row r="838" spans="2:7" x14ac:dyDescent="0.25">
      <c r="B838" s="22">
        <v>833</v>
      </c>
      <c r="C838" s="4">
        <f t="shared" ca="1" si="54"/>
        <v>0.59299349081410835</v>
      </c>
      <c r="D838" s="5">
        <f t="shared" ca="1" si="54"/>
        <v>0.12609643054122888</v>
      </c>
      <c r="E838">
        <f t="shared" ca="1" si="53"/>
        <v>1</v>
      </c>
      <c r="F838" s="4">
        <f t="shared" ref="F838:F901" ca="1" si="55">IF((C838^2+D838^2)&lt;1, C838, 0)</f>
        <v>0.59299349081410835</v>
      </c>
      <c r="G838" s="5">
        <f t="shared" ref="G838:G901" ca="1" si="56">IF((C838^2+D838^2)&lt;1, D838, 0)</f>
        <v>0.12609643054122888</v>
      </c>
    </row>
    <row r="839" spans="2:7" x14ac:dyDescent="0.25">
      <c r="B839" s="22">
        <v>834</v>
      </c>
      <c r="C839" s="4">
        <f t="shared" ca="1" si="54"/>
        <v>-0.93837989365479757</v>
      </c>
      <c r="D839" s="5">
        <f t="shared" ca="1" si="54"/>
        <v>-3.8384777439015361E-2</v>
      </c>
      <c r="E839">
        <f t="shared" ref="E839:E902" ca="1" si="57">IF(C839^2+D839^2&lt;1, 1, 0)</f>
        <v>1</v>
      </c>
      <c r="F839" s="4">
        <f t="shared" ca="1" si="55"/>
        <v>-0.93837989365479757</v>
      </c>
      <c r="G839" s="5">
        <f t="shared" ca="1" si="56"/>
        <v>-3.8384777439015361E-2</v>
      </c>
    </row>
    <row r="840" spans="2:7" x14ac:dyDescent="0.25">
      <c r="B840" s="22">
        <v>835</v>
      </c>
      <c r="C840" s="4">
        <f t="shared" ca="1" si="54"/>
        <v>-0.75817091795027847</v>
      </c>
      <c r="D840" s="5">
        <f t="shared" ca="1" si="54"/>
        <v>-0.18158317045519601</v>
      </c>
      <c r="E840">
        <f t="shared" ca="1" si="57"/>
        <v>1</v>
      </c>
      <c r="F840" s="4">
        <f t="shared" ca="1" si="55"/>
        <v>-0.75817091795027847</v>
      </c>
      <c r="G840" s="5">
        <f t="shared" ca="1" si="56"/>
        <v>-0.18158317045519601</v>
      </c>
    </row>
    <row r="841" spans="2:7" x14ac:dyDescent="0.25">
      <c r="B841" s="22">
        <v>836</v>
      </c>
      <c r="C841" s="4">
        <f t="shared" ca="1" si="54"/>
        <v>8.8613861362711432E-2</v>
      </c>
      <c r="D841" s="5">
        <f t="shared" ca="1" si="54"/>
        <v>0.42271501702181769</v>
      </c>
      <c r="E841">
        <f t="shared" ca="1" si="57"/>
        <v>1</v>
      </c>
      <c r="F841" s="4">
        <f t="shared" ca="1" si="55"/>
        <v>8.8613861362711432E-2</v>
      </c>
      <c r="G841" s="5">
        <f t="shared" ca="1" si="56"/>
        <v>0.42271501702181769</v>
      </c>
    </row>
    <row r="842" spans="2:7" x14ac:dyDescent="0.25">
      <c r="B842" s="22">
        <v>837</v>
      </c>
      <c r="C842" s="4">
        <f t="shared" ca="1" si="54"/>
        <v>-0.28861694301281604</v>
      </c>
      <c r="D842" s="5">
        <f t="shared" ca="1" si="54"/>
        <v>-4.143886117942297E-2</v>
      </c>
      <c r="E842">
        <f t="shared" ca="1" si="57"/>
        <v>1</v>
      </c>
      <c r="F842" s="4">
        <f t="shared" ca="1" si="55"/>
        <v>-0.28861694301281604</v>
      </c>
      <c r="G842" s="5">
        <f t="shared" ca="1" si="56"/>
        <v>-4.143886117942297E-2</v>
      </c>
    </row>
    <row r="843" spans="2:7" x14ac:dyDescent="0.25">
      <c r="B843" s="22">
        <v>838</v>
      </c>
      <c r="C843" s="4">
        <f t="shared" ca="1" si="54"/>
        <v>-0.83015483875978768</v>
      </c>
      <c r="D843" s="5">
        <f t="shared" ca="1" si="54"/>
        <v>0.81942330065550029</v>
      </c>
      <c r="E843">
        <f t="shared" ca="1" si="57"/>
        <v>0</v>
      </c>
      <c r="F843" s="4">
        <f t="shared" ca="1" si="55"/>
        <v>0</v>
      </c>
      <c r="G843" s="5">
        <f t="shared" ca="1" si="56"/>
        <v>0</v>
      </c>
    </row>
    <row r="844" spans="2:7" x14ac:dyDescent="0.25">
      <c r="B844" s="22">
        <v>839</v>
      </c>
      <c r="C844" s="4">
        <f t="shared" ca="1" si="54"/>
        <v>-0.19168906267441765</v>
      </c>
      <c r="D844" s="5">
        <f t="shared" ca="1" si="54"/>
        <v>-0.47811668098922366</v>
      </c>
      <c r="E844">
        <f t="shared" ca="1" si="57"/>
        <v>1</v>
      </c>
      <c r="F844" s="4">
        <f t="shared" ca="1" si="55"/>
        <v>-0.19168906267441765</v>
      </c>
      <c r="G844" s="5">
        <f t="shared" ca="1" si="56"/>
        <v>-0.47811668098922366</v>
      </c>
    </row>
    <row r="845" spans="2:7" x14ac:dyDescent="0.25">
      <c r="B845" s="22">
        <v>840</v>
      </c>
      <c r="C845" s="4">
        <f t="shared" ca="1" si="54"/>
        <v>-0.76438363032414691</v>
      </c>
      <c r="D845" s="5">
        <f t="shared" ca="1" si="54"/>
        <v>0.93731804498220606</v>
      </c>
      <c r="E845">
        <f t="shared" ca="1" si="57"/>
        <v>0</v>
      </c>
      <c r="F845" s="4">
        <f t="shared" ca="1" si="55"/>
        <v>0</v>
      </c>
      <c r="G845" s="5">
        <f t="shared" ca="1" si="56"/>
        <v>0</v>
      </c>
    </row>
    <row r="846" spans="2:7" x14ac:dyDescent="0.25">
      <c r="B846" s="22">
        <v>841</v>
      </c>
      <c r="C846" s="4">
        <f t="shared" ca="1" si="54"/>
        <v>0.48643235494164783</v>
      </c>
      <c r="D846" s="5">
        <f t="shared" ca="1" si="54"/>
        <v>-0.91291800230881903</v>
      </c>
      <c r="E846">
        <f t="shared" ca="1" si="57"/>
        <v>0</v>
      </c>
      <c r="F846" s="4">
        <f t="shared" ca="1" si="55"/>
        <v>0</v>
      </c>
      <c r="G846" s="5">
        <f t="shared" ca="1" si="56"/>
        <v>0</v>
      </c>
    </row>
    <row r="847" spans="2:7" x14ac:dyDescent="0.25">
      <c r="B847" s="22">
        <v>842</v>
      </c>
      <c r="C847" s="4">
        <f t="shared" ca="1" si="54"/>
        <v>-0.78599275944778002</v>
      </c>
      <c r="D847" s="5">
        <f t="shared" ca="1" si="54"/>
        <v>-0.99291895108416228</v>
      </c>
      <c r="E847">
        <f t="shared" ca="1" si="57"/>
        <v>0</v>
      </c>
      <c r="F847" s="4">
        <f t="shared" ca="1" si="55"/>
        <v>0</v>
      </c>
      <c r="G847" s="5">
        <f t="shared" ca="1" si="56"/>
        <v>0</v>
      </c>
    </row>
    <row r="848" spans="2:7" x14ac:dyDescent="0.25">
      <c r="B848" s="22">
        <v>843</v>
      </c>
      <c r="C848" s="4">
        <f t="shared" ca="1" si="54"/>
        <v>0.11946490860288006</v>
      </c>
      <c r="D848" s="5">
        <f t="shared" ca="1" si="54"/>
        <v>-0.12184142173299506</v>
      </c>
      <c r="E848">
        <f t="shared" ca="1" si="57"/>
        <v>1</v>
      </c>
      <c r="F848" s="4">
        <f t="shared" ca="1" si="55"/>
        <v>0.11946490860288006</v>
      </c>
      <c r="G848" s="5">
        <f t="shared" ca="1" si="56"/>
        <v>-0.12184142173299506</v>
      </c>
    </row>
    <row r="849" spans="2:7" x14ac:dyDescent="0.25">
      <c r="B849" s="22">
        <v>844</v>
      </c>
      <c r="C849" s="4">
        <f t="shared" ca="1" si="54"/>
        <v>0.53909375619792943</v>
      </c>
      <c r="D849" s="5">
        <f t="shared" ca="1" si="54"/>
        <v>0.50274980005121916</v>
      </c>
      <c r="E849">
        <f t="shared" ca="1" si="57"/>
        <v>1</v>
      </c>
      <c r="F849" s="4">
        <f t="shared" ca="1" si="55"/>
        <v>0.53909375619792943</v>
      </c>
      <c r="G849" s="5">
        <f t="shared" ca="1" si="56"/>
        <v>0.50274980005121916</v>
      </c>
    </row>
    <row r="850" spans="2:7" x14ac:dyDescent="0.25">
      <c r="B850" s="22">
        <v>845</v>
      </c>
      <c r="C850" s="4">
        <f t="shared" ca="1" si="54"/>
        <v>0.9901297725732161</v>
      </c>
      <c r="D850" s="5">
        <f t="shared" ca="1" si="54"/>
        <v>0.27565634810390005</v>
      </c>
      <c r="E850">
        <f t="shared" ca="1" si="57"/>
        <v>0</v>
      </c>
      <c r="F850" s="4">
        <f t="shared" ca="1" si="55"/>
        <v>0</v>
      </c>
      <c r="G850" s="5">
        <f t="shared" ca="1" si="56"/>
        <v>0</v>
      </c>
    </row>
    <row r="851" spans="2:7" x14ac:dyDescent="0.25">
      <c r="B851" s="22">
        <v>846</v>
      </c>
      <c r="C851" s="4">
        <f t="shared" ca="1" si="54"/>
        <v>3.4015096345580975E-2</v>
      </c>
      <c r="D851" s="5">
        <f t="shared" ca="1" si="54"/>
        <v>0.84594343815038742</v>
      </c>
      <c r="E851">
        <f t="shared" ca="1" si="57"/>
        <v>1</v>
      </c>
      <c r="F851" s="4">
        <f t="shared" ca="1" si="55"/>
        <v>3.4015096345580975E-2</v>
      </c>
      <c r="G851" s="5">
        <f t="shared" ca="1" si="56"/>
        <v>0.84594343815038742</v>
      </c>
    </row>
    <row r="852" spans="2:7" x14ac:dyDescent="0.25">
      <c r="B852" s="22">
        <v>847</v>
      </c>
      <c r="C852" s="4">
        <f t="shared" ca="1" si="54"/>
        <v>0.86752935493545635</v>
      </c>
      <c r="D852" s="5">
        <f t="shared" ca="1" si="54"/>
        <v>0.13969640682401163</v>
      </c>
      <c r="E852">
        <f t="shared" ca="1" si="57"/>
        <v>1</v>
      </c>
      <c r="F852" s="4">
        <f t="shared" ca="1" si="55"/>
        <v>0.86752935493545635</v>
      </c>
      <c r="G852" s="5">
        <f t="shared" ca="1" si="56"/>
        <v>0.13969640682401163</v>
      </c>
    </row>
    <row r="853" spans="2:7" x14ac:dyDescent="0.25">
      <c r="B853" s="22">
        <v>848</v>
      </c>
      <c r="C853" s="4">
        <f t="shared" ca="1" si="54"/>
        <v>0.15603863721482392</v>
      </c>
      <c r="D853" s="5">
        <f t="shared" ca="1" si="54"/>
        <v>-0.44439319895761287</v>
      </c>
      <c r="E853">
        <f t="shared" ca="1" si="57"/>
        <v>1</v>
      </c>
      <c r="F853" s="4">
        <f t="shared" ca="1" si="55"/>
        <v>0.15603863721482392</v>
      </c>
      <c r="G853" s="5">
        <f t="shared" ca="1" si="56"/>
        <v>-0.44439319895761287</v>
      </c>
    </row>
    <row r="854" spans="2:7" x14ac:dyDescent="0.25">
      <c r="B854" s="22">
        <v>849</v>
      </c>
      <c r="C854" s="4">
        <f t="shared" ca="1" si="54"/>
        <v>-0.82968615557870251</v>
      </c>
      <c r="D854" s="5">
        <f t="shared" ca="1" si="54"/>
        <v>0.77264620609640144</v>
      </c>
      <c r="E854">
        <f t="shared" ca="1" si="57"/>
        <v>0</v>
      </c>
      <c r="F854" s="4">
        <f t="shared" ca="1" si="55"/>
        <v>0</v>
      </c>
      <c r="G854" s="5">
        <f t="shared" ca="1" si="56"/>
        <v>0</v>
      </c>
    </row>
    <row r="855" spans="2:7" x14ac:dyDescent="0.25">
      <c r="B855" s="22">
        <v>850</v>
      </c>
      <c r="C855" s="4">
        <f t="shared" ref="C855:D918" ca="1" si="58">1-2*RAND()</f>
        <v>-0.44902243622176052</v>
      </c>
      <c r="D855" s="5">
        <f t="shared" ca="1" si="58"/>
        <v>0.25041979260253644</v>
      </c>
      <c r="E855">
        <f t="shared" ca="1" si="57"/>
        <v>1</v>
      </c>
      <c r="F855" s="4">
        <f t="shared" ca="1" si="55"/>
        <v>-0.44902243622176052</v>
      </c>
      <c r="G855" s="5">
        <f t="shared" ca="1" si="56"/>
        <v>0.25041979260253644</v>
      </c>
    </row>
    <row r="856" spans="2:7" x14ac:dyDescent="0.25">
      <c r="B856" s="22">
        <v>851</v>
      </c>
      <c r="C856" s="4">
        <f t="shared" ca="1" si="58"/>
        <v>0.37491591682633763</v>
      </c>
      <c r="D856" s="5">
        <f t="shared" ca="1" si="58"/>
        <v>-0.8039714985611941</v>
      </c>
      <c r="E856">
        <f t="shared" ca="1" si="57"/>
        <v>1</v>
      </c>
      <c r="F856" s="4">
        <f t="shared" ca="1" si="55"/>
        <v>0.37491591682633763</v>
      </c>
      <c r="G856" s="5">
        <f t="shared" ca="1" si="56"/>
        <v>-0.8039714985611941</v>
      </c>
    </row>
    <row r="857" spans="2:7" x14ac:dyDescent="0.25">
      <c r="B857" s="22">
        <v>852</v>
      </c>
      <c r="C857" s="4">
        <f t="shared" ca="1" si="58"/>
        <v>-8.0712517005528062E-2</v>
      </c>
      <c r="D857" s="5">
        <f t="shared" ca="1" si="58"/>
        <v>0.23890371922109521</v>
      </c>
      <c r="E857">
        <f t="shared" ca="1" si="57"/>
        <v>1</v>
      </c>
      <c r="F857" s="4">
        <f t="shared" ca="1" si="55"/>
        <v>-8.0712517005528062E-2</v>
      </c>
      <c r="G857" s="5">
        <f t="shared" ca="1" si="56"/>
        <v>0.23890371922109521</v>
      </c>
    </row>
    <row r="858" spans="2:7" x14ac:dyDescent="0.25">
      <c r="B858" s="22">
        <v>853</v>
      </c>
      <c r="C858" s="4">
        <f t="shared" ca="1" si="58"/>
        <v>0.54401578660313832</v>
      </c>
      <c r="D858" s="5">
        <f t="shared" ca="1" si="58"/>
        <v>-0.55021814727632989</v>
      </c>
      <c r="E858">
        <f t="shared" ca="1" si="57"/>
        <v>1</v>
      </c>
      <c r="F858" s="4">
        <f t="shared" ca="1" si="55"/>
        <v>0.54401578660313832</v>
      </c>
      <c r="G858" s="5">
        <f t="shared" ca="1" si="56"/>
        <v>-0.55021814727632989</v>
      </c>
    </row>
    <row r="859" spans="2:7" x14ac:dyDescent="0.25">
      <c r="B859" s="22">
        <v>854</v>
      </c>
      <c r="C859" s="4">
        <f t="shared" ca="1" si="58"/>
        <v>-0.75091439489100531</v>
      </c>
      <c r="D859" s="5">
        <f t="shared" ca="1" si="58"/>
        <v>-0.16731666988049487</v>
      </c>
      <c r="E859">
        <f t="shared" ca="1" si="57"/>
        <v>1</v>
      </c>
      <c r="F859" s="4">
        <f t="shared" ca="1" si="55"/>
        <v>-0.75091439489100531</v>
      </c>
      <c r="G859" s="5">
        <f t="shared" ca="1" si="56"/>
        <v>-0.16731666988049487</v>
      </c>
    </row>
    <row r="860" spans="2:7" x14ac:dyDescent="0.25">
      <c r="B860" s="22">
        <v>855</v>
      </c>
      <c r="C860" s="4">
        <f t="shared" ca="1" si="58"/>
        <v>-0.94833862586732809</v>
      </c>
      <c r="D860" s="5">
        <f t="shared" ca="1" si="58"/>
        <v>0.25437520627692312</v>
      </c>
      <c r="E860">
        <f t="shared" ca="1" si="57"/>
        <v>1</v>
      </c>
      <c r="F860" s="4">
        <f t="shared" ca="1" si="55"/>
        <v>-0.94833862586732809</v>
      </c>
      <c r="G860" s="5">
        <f t="shared" ca="1" si="56"/>
        <v>0.25437520627692312</v>
      </c>
    </row>
    <row r="861" spans="2:7" x14ac:dyDescent="0.25">
      <c r="B861" s="22">
        <v>856</v>
      </c>
      <c r="C861" s="4">
        <f t="shared" ca="1" si="58"/>
        <v>0.94802513289045076</v>
      </c>
      <c r="D861" s="5">
        <f t="shared" ca="1" si="58"/>
        <v>0.29198821555172061</v>
      </c>
      <c r="E861">
        <f t="shared" ca="1" si="57"/>
        <v>1</v>
      </c>
      <c r="F861" s="4">
        <f t="shared" ca="1" si="55"/>
        <v>0.94802513289045076</v>
      </c>
      <c r="G861" s="5">
        <f t="shared" ca="1" si="56"/>
        <v>0.29198821555172061</v>
      </c>
    </row>
    <row r="862" spans="2:7" x14ac:dyDescent="0.25">
      <c r="B862" s="22">
        <v>857</v>
      </c>
      <c r="C862" s="4">
        <f t="shared" ca="1" si="58"/>
        <v>-0.62848024639536426</v>
      </c>
      <c r="D862" s="5">
        <f t="shared" ca="1" si="58"/>
        <v>-0.59071219821376775</v>
      </c>
      <c r="E862">
        <f t="shared" ca="1" si="57"/>
        <v>1</v>
      </c>
      <c r="F862" s="4">
        <f t="shared" ca="1" si="55"/>
        <v>-0.62848024639536426</v>
      </c>
      <c r="G862" s="5">
        <f t="shared" ca="1" si="56"/>
        <v>-0.59071219821376775</v>
      </c>
    </row>
    <row r="863" spans="2:7" x14ac:dyDescent="0.25">
      <c r="B863" s="22">
        <v>858</v>
      </c>
      <c r="C863" s="4">
        <f t="shared" ca="1" si="58"/>
        <v>0.62966554773446681</v>
      </c>
      <c r="D863" s="5">
        <f t="shared" ca="1" si="58"/>
        <v>-9.0941983607384591E-2</v>
      </c>
      <c r="E863">
        <f t="shared" ca="1" si="57"/>
        <v>1</v>
      </c>
      <c r="F863" s="4">
        <f t="shared" ca="1" si="55"/>
        <v>0.62966554773446681</v>
      </c>
      <c r="G863" s="5">
        <f t="shared" ca="1" si="56"/>
        <v>-9.0941983607384591E-2</v>
      </c>
    </row>
    <row r="864" spans="2:7" x14ac:dyDescent="0.25">
      <c r="B864" s="22">
        <v>859</v>
      </c>
      <c r="C864" s="4">
        <f t="shared" ca="1" si="58"/>
        <v>-0.77350895119643948</v>
      </c>
      <c r="D864" s="5">
        <f t="shared" ca="1" si="58"/>
        <v>-0.5435994997703939</v>
      </c>
      <c r="E864">
        <f t="shared" ca="1" si="57"/>
        <v>1</v>
      </c>
      <c r="F864" s="4">
        <f t="shared" ca="1" si="55"/>
        <v>-0.77350895119643948</v>
      </c>
      <c r="G864" s="5">
        <f t="shared" ca="1" si="56"/>
        <v>-0.5435994997703939</v>
      </c>
    </row>
    <row r="865" spans="2:7" x14ac:dyDescent="0.25">
      <c r="B865" s="22">
        <v>860</v>
      </c>
      <c r="C865" s="4">
        <f t="shared" ca="1" si="58"/>
        <v>-0.56772179940802259</v>
      </c>
      <c r="D865" s="5">
        <f t="shared" ca="1" si="58"/>
        <v>0.18184673309878208</v>
      </c>
      <c r="E865">
        <f t="shared" ca="1" si="57"/>
        <v>1</v>
      </c>
      <c r="F865" s="4">
        <f t="shared" ca="1" si="55"/>
        <v>-0.56772179940802259</v>
      </c>
      <c r="G865" s="5">
        <f t="shared" ca="1" si="56"/>
        <v>0.18184673309878208</v>
      </c>
    </row>
    <row r="866" spans="2:7" x14ac:dyDescent="0.25">
      <c r="B866" s="22">
        <v>861</v>
      </c>
      <c r="C866" s="4">
        <f t="shared" ca="1" si="58"/>
        <v>0.2462213349439375</v>
      </c>
      <c r="D866" s="5">
        <f t="shared" ca="1" si="58"/>
        <v>-8.0135923882668658E-2</v>
      </c>
      <c r="E866">
        <f t="shared" ca="1" si="57"/>
        <v>1</v>
      </c>
      <c r="F866" s="4">
        <f t="shared" ca="1" si="55"/>
        <v>0.2462213349439375</v>
      </c>
      <c r="G866" s="5">
        <f t="shared" ca="1" si="56"/>
        <v>-8.0135923882668658E-2</v>
      </c>
    </row>
    <row r="867" spans="2:7" x14ac:dyDescent="0.25">
      <c r="B867" s="22">
        <v>862</v>
      </c>
      <c r="C867" s="4">
        <f t="shared" ca="1" si="58"/>
        <v>-1.0349129811501934E-2</v>
      </c>
      <c r="D867" s="5">
        <f t="shared" ca="1" si="58"/>
        <v>0.75376678953412801</v>
      </c>
      <c r="E867">
        <f t="shared" ca="1" si="57"/>
        <v>1</v>
      </c>
      <c r="F867" s="4">
        <f t="shared" ca="1" si="55"/>
        <v>-1.0349129811501934E-2</v>
      </c>
      <c r="G867" s="5">
        <f t="shared" ca="1" si="56"/>
        <v>0.75376678953412801</v>
      </c>
    </row>
    <row r="868" spans="2:7" x14ac:dyDescent="0.25">
      <c r="B868" s="22">
        <v>863</v>
      </c>
      <c r="C868" s="4">
        <f t="shared" ca="1" si="58"/>
        <v>0.98235502724115054</v>
      </c>
      <c r="D868" s="5">
        <f t="shared" ca="1" si="58"/>
        <v>0.15859567678128283</v>
      </c>
      <c r="E868">
        <f t="shared" ca="1" si="57"/>
        <v>1</v>
      </c>
      <c r="F868" s="4">
        <f t="shared" ca="1" si="55"/>
        <v>0.98235502724115054</v>
      </c>
      <c r="G868" s="5">
        <f t="shared" ca="1" si="56"/>
        <v>0.15859567678128283</v>
      </c>
    </row>
    <row r="869" spans="2:7" x14ac:dyDescent="0.25">
      <c r="B869" s="22">
        <v>864</v>
      </c>
      <c r="C869" s="4">
        <f t="shared" ca="1" si="58"/>
        <v>-0.4783324744727675</v>
      </c>
      <c r="D869" s="5">
        <f t="shared" ca="1" si="58"/>
        <v>-0.60850897035681761</v>
      </c>
      <c r="E869">
        <f t="shared" ca="1" si="57"/>
        <v>1</v>
      </c>
      <c r="F869" s="4">
        <f t="shared" ca="1" si="55"/>
        <v>-0.4783324744727675</v>
      </c>
      <c r="G869" s="5">
        <f t="shared" ca="1" si="56"/>
        <v>-0.60850897035681761</v>
      </c>
    </row>
    <row r="870" spans="2:7" x14ac:dyDescent="0.25">
      <c r="B870" s="22">
        <v>865</v>
      </c>
      <c r="C870" s="4">
        <f t="shared" ca="1" si="58"/>
        <v>-0.28458721580221136</v>
      </c>
      <c r="D870" s="5">
        <f t="shared" ca="1" si="58"/>
        <v>0.16632899895082853</v>
      </c>
      <c r="E870">
        <f t="shared" ca="1" si="57"/>
        <v>1</v>
      </c>
      <c r="F870" s="4">
        <f t="shared" ca="1" si="55"/>
        <v>-0.28458721580221136</v>
      </c>
      <c r="G870" s="5">
        <f t="shared" ca="1" si="56"/>
        <v>0.16632899895082853</v>
      </c>
    </row>
    <row r="871" spans="2:7" x14ac:dyDescent="0.25">
      <c r="B871" s="22">
        <v>866</v>
      </c>
      <c r="C871" s="4">
        <f t="shared" ca="1" si="58"/>
        <v>-5.4932516501584372E-2</v>
      </c>
      <c r="D871" s="5">
        <f t="shared" ca="1" si="58"/>
        <v>-0.19257011986654238</v>
      </c>
      <c r="E871">
        <f t="shared" ca="1" si="57"/>
        <v>1</v>
      </c>
      <c r="F871" s="4">
        <f t="shared" ca="1" si="55"/>
        <v>-5.4932516501584372E-2</v>
      </c>
      <c r="G871" s="5">
        <f t="shared" ca="1" si="56"/>
        <v>-0.19257011986654238</v>
      </c>
    </row>
    <row r="872" spans="2:7" x14ac:dyDescent="0.25">
      <c r="B872" s="22">
        <v>867</v>
      </c>
      <c r="C872" s="4">
        <f t="shared" ca="1" si="58"/>
        <v>-0.86603813441065824</v>
      </c>
      <c r="D872" s="5">
        <f t="shared" ca="1" si="58"/>
        <v>0.29714506708297206</v>
      </c>
      <c r="E872">
        <f t="shared" ca="1" si="57"/>
        <v>1</v>
      </c>
      <c r="F872" s="4">
        <f t="shared" ca="1" si="55"/>
        <v>-0.86603813441065824</v>
      </c>
      <c r="G872" s="5">
        <f t="shared" ca="1" si="56"/>
        <v>0.29714506708297206</v>
      </c>
    </row>
    <row r="873" spans="2:7" x14ac:dyDescent="0.25">
      <c r="B873" s="22">
        <v>868</v>
      </c>
      <c r="C873" s="4">
        <f t="shared" ca="1" si="58"/>
        <v>0.23556110027441068</v>
      </c>
      <c r="D873" s="5">
        <f t="shared" ca="1" si="58"/>
        <v>-0.73000438402280809</v>
      </c>
      <c r="E873">
        <f t="shared" ca="1" si="57"/>
        <v>1</v>
      </c>
      <c r="F873" s="4">
        <f t="shared" ca="1" si="55"/>
        <v>0.23556110027441068</v>
      </c>
      <c r="G873" s="5">
        <f t="shared" ca="1" si="56"/>
        <v>-0.73000438402280809</v>
      </c>
    </row>
    <row r="874" spans="2:7" x14ac:dyDescent="0.25">
      <c r="B874" s="22">
        <v>869</v>
      </c>
      <c r="C874" s="4">
        <f t="shared" ca="1" si="58"/>
        <v>-0.37708595625484409</v>
      </c>
      <c r="D874" s="5">
        <f t="shared" ca="1" si="58"/>
        <v>0.9730911038294725</v>
      </c>
      <c r="E874">
        <f t="shared" ca="1" si="57"/>
        <v>0</v>
      </c>
      <c r="F874" s="4">
        <f t="shared" ca="1" si="55"/>
        <v>0</v>
      </c>
      <c r="G874" s="5">
        <f t="shared" ca="1" si="56"/>
        <v>0</v>
      </c>
    </row>
    <row r="875" spans="2:7" x14ac:dyDescent="0.25">
      <c r="B875" s="22">
        <v>870</v>
      </c>
      <c r="C875" s="4">
        <f t="shared" ca="1" si="58"/>
        <v>0.10881662907973233</v>
      </c>
      <c r="D875" s="5">
        <f t="shared" ca="1" si="58"/>
        <v>0.88803688827868932</v>
      </c>
      <c r="E875">
        <f t="shared" ca="1" si="57"/>
        <v>1</v>
      </c>
      <c r="F875" s="4">
        <f t="shared" ca="1" si="55"/>
        <v>0.10881662907973233</v>
      </c>
      <c r="G875" s="5">
        <f t="shared" ca="1" si="56"/>
        <v>0.88803688827868932</v>
      </c>
    </row>
    <row r="876" spans="2:7" x14ac:dyDescent="0.25">
      <c r="B876" s="22">
        <v>871</v>
      </c>
      <c r="C876" s="4">
        <f t="shared" ca="1" si="58"/>
        <v>-0.43953285631259509</v>
      </c>
      <c r="D876" s="5">
        <f t="shared" ca="1" si="58"/>
        <v>-6.5783935334989163E-2</v>
      </c>
      <c r="E876">
        <f t="shared" ca="1" si="57"/>
        <v>1</v>
      </c>
      <c r="F876" s="4">
        <f t="shared" ca="1" si="55"/>
        <v>-0.43953285631259509</v>
      </c>
      <c r="G876" s="5">
        <f t="shared" ca="1" si="56"/>
        <v>-6.5783935334989163E-2</v>
      </c>
    </row>
    <row r="877" spans="2:7" x14ac:dyDescent="0.25">
      <c r="B877" s="22">
        <v>872</v>
      </c>
      <c r="C877" s="4">
        <f t="shared" ca="1" si="58"/>
        <v>-0.50162477022681973</v>
      </c>
      <c r="D877" s="5">
        <f t="shared" ca="1" si="58"/>
        <v>0.92500158977001368</v>
      </c>
      <c r="E877">
        <f t="shared" ca="1" si="57"/>
        <v>0</v>
      </c>
      <c r="F877" s="4">
        <f t="shared" ca="1" si="55"/>
        <v>0</v>
      </c>
      <c r="G877" s="5">
        <f t="shared" ca="1" si="56"/>
        <v>0</v>
      </c>
    </row>
    <row r="878" spans="2:7" x14ac:dyDescent="0.25">
      <c r="B878" s="22">
        <v>873</v>
      </c>
      <c r="C878" s="4">
        <f t="shared" ca="1" si="58"/>
        <v>0.39759780740551087</v>
      </c>
      <c r="D878" s="5">
        <f t="shared" ca="1" si="58"/>
        <v>-0.70756103837181672</v>
      </c>
      <c r="E878">
        <f t="shared" ca="1" si="57"/>
        <v>1</v>
      </c>
      <c r="F878" s="4">
        <f t="shared" ca="1" si="55"/>
        <v>0.39759780740551087</v>
      </c>
      <c r="G878" s="5">
        <f t="shared" ca="1" si="56"/>
        <v>-0.70756103837181672</v>
      </c>
    </row>
    <row r="879" spans="2:7" x14ac:dyDescent="0.25">
      <c r="B879" s="22">
        <v>874</v>
      </c>
      <c r="C879" s="4">
        <f t="shared" ca="1" si="58"/>
        <v>0.94218431025489702</v>
      </c>
      <c r="D879" s="5">
        <f t="shared" ca="1" si="58"/>
        <v>-0.45379919055627727</v>
      </c>
      <c r="E879">
        <f t="shared" ca="1" si="57"/>
        <v>0</v>
      </c>
      <c r="F879" s="4">
        <f t="shared" ca="1" si="55"/>
        <v>0</v>
      </c>
      <c r="G879" s="5">
        <f t="shared" ca="1" si="56"/>
        <v>0</v>
      </c>
    </row>
    <row r="880" spans="2:7" x14ac:dyDescent="0.25">
      <c r="B880" s="22">
        <v>875</v>
      </c>
      <c r="C880" s="4">
        <f t="shared" ca="1" si="58"/>
        <v>0.55129174783229518</v>
      </c>
      <c r="D880" s="5">
        <f t="shared" ca="1" si="58"/>
        <v>-0.563127735868028</v>
      </c>
      <c r="E880">
        <f t="shared" ca="1" si="57"/>
        <v>1</v>
      </c>
      <c r="F880" s="4">
        <f t="shared" ca="1" si="55"/>
        <v>0.55129174783229518</v>
      </c>
      <c r="G880" s="5">
        <f t="shared" ca="1" si="56"/>
        <v>-0.563127735868028</v>
      </c>
    </row>
    <row r="881" spans="2:7" x14ac:dyDescent="0.25">
      <c r="B881" s="22">
        <v>876</v>
      </c>
      <c r="C881" s="4">
        <f t="shared" ca="1" si="58"/>
        <v>-0.43742567407596544</v>
      </c>
      <c r="D881" s="5">
        <f t="shared" ca="1" si="58"/>
        <v>0.17135761188835641</v>
      </c>
      <c r="E881">
        <f t="shared" ca="1" si="57"/>
        <v>1</v>
      </c>
      <c r="F881" s="4">
        <f t="shared" ca="1" si="55"/>
        <v>-0.43742567407596544</v>
      </c>
      <c r="G881" s="5">
        <f t="shared" ca="1" si="56"/>
        <v>0.17135761188835641</v>
      </c>
    </row>
    <row r="882" spans="2:7" x14ac:dyDescent="0.25">
      <c r="B882" s="22">
        <v>877</v>
      </c>
      <c r="C882" s="4">
        <f t="shared" ca="1" si="58"/>
        <v>0.22377434963435361</v>
      </c>
      <c r="D882" s="5">
        <f t="shared" ca="1" si="58"/>
        <v>-0.21233744474740179</v>
      </c>
      <c r="E882">
        <f t="shared" ca="1" si="57"/>
        <v>1</v>
      </c>
      <c r="F882" s="4">
        <f t="shared" ca="1" si="55"/>
        <v>0.22377434963435361</v>
      </c>
      <c r="G882" s="5">
        <f t="shared" ca="1" si="56"/>
        <v>-0.21233744474740179</v>
      </c>
    </row>
    <row r="883" spans="2:7" x14ac:dyDescent="0.25">
      <c r="B883" s="22">
        <v>878</v>
      </c>
      <c r="C883" s="4">
        <f t="shared" ca="1" si="58"/>
        <v>-0.40670588768614513</v>
      </c>
      <c r="D883" s="5">
        <f t="shared" ca="1" si="58"/>
        <v>0.49848341178867894</v>
      </c>
      <c r="E883">
        <f t="shared" ca="1" si="57"/>
        <v>1</v>
      </c>
      <c r="F883" s="4">
        <f t="shared" ca="1" si="55"/>
        <v>-0.40670588768614513</v>
      </c>
      <c r="G883" s="5">
        <f t="shared" ca="1" si="56"/>
        <v>0.49848341178867894</v>
      </c>
    </row>
    <row r="884" spans="2:7" x14ac:dyDescent="0.25">
      <c r="B884" s="22">
        <v>879</v>
      </c>
      <c r="C884" s="4">
        <f t="shared" ca="1" si="58"/>
        <v>-0.34496184642163819</v>
      </c>
      <c r="D884" s="5">
        <f t="shared" ca="1" si="58"/>
        <v>-0.55107094982994109</v>
      </c>
      <c r="E884">
        <f t="shared" ca="1" si="57"/>
        <v>1</v>
      </c>
      <c r="F884" s="4">
        <f t="shared" ca="1" si="55"/>
        <v>-0.34496184642163819</v>
      </c>
      <c r="G884" s="5">
        <f t="shared" ca="1" si="56"/>
        <v>-0.55107094982994109</v>
      </c>
    </row>
    <row r="885" spans="2:7" x14ac:dyDescent="0.25">
      <c r="B885" s="22">
        <v>880</v>
      </c>
      <c r="C885" s="4">
        <f t="shared" ca="1" si="58"/>
        <v>0.30435310572767826</v>
      </c>
      <c r="D885" s="5">
        <f t="shared" ca="1" si="58"/>
        <v>0.97416410802493614</v>
      </c>
      <c r="E885">
        <f t="shared" ca="1" si="57"/>
        <v>0</v>
      </c>
      <c r="F885" s="4">
        <f t="shared" ca="1" si="55"/>
        <v>0</v>
      </c>
      <c r="G885" s="5">
        <f t="shared" ca="1" si="56"/>
        <v>0</v>
      </c>
    </row>
    <row r="886" spans="2:7" x14ac:dyDescent="0.25">
      <c r="B886" s="22">
        <v>881</v>
      </c>
      <c r="C886" s="4">
        <f t="shared" ca="1" si="58"/>
        <v>-0.49636135513445012</v>
      </c>
      <c r="D886" s="5">
        <f t="shared" ca="1" si="58"/>
        <v>0.23840522103914896</v>
      </c>
      <c r="E886">
        <f t="shared" ca="1" si="57"/>
        <v>1</v>
      </c>
      <c r="F886" s="4">
        <f t="shared" ca="1" si="55"/>
        <v>-0.49636135513445012</v>
      </c>
      <c r="G886" s="5">
        <f t="shared" ca="1" si="56"/>
        <v>0.23840522103914896</v>
      </c>
    </row>
    <row r="887" spans="2:7" x14ac:dyDescent="0.25">
      <c r="B887" s="22">
        <v>882</v>
      </c>
      <c r="C887" s="4">
        <f t="shared" ca="1" si="58"/>
        <v>-0.59125591433330382</v>
      </c>
      <c r="D887" s="5">
        <f t="shared" ca="1" si="58"/>
        <v>0.81070710607842855</v>
      </c>
      <c r="E887">
        <f t="shared" ca="1" si="57"/>
        <v>0</v>
      </c>
      <c r="F887" s="4">
        <f t="shared" ca="1" si="55"/>
        <v>0</v>
      </c>
      <c r="G887" s="5">
        <f t="shared" ca="1" si="56"/>
        <v>0</v>
      </c>
    </row>
    <row r="888" spans="2:7" x14ac:dyDescent="0.25">
      <c r="B888" s="22">
        <v>883</v>
      </c>
      <c r="C888" s="4">
        <f t="shared" ca="1" si="58"/>
        <v>0.86111046479299058</v>
      </c>
      <c r="D888" s="5">
        <f t="shared" ca="1" si="58"/>
        <v>0.39082582795100462</v>
      </c>
      <c r="E888">
        <f t="shared" ca="1" si="57"/>
        <v>1</v>
      </c>
      <c r="F888" s="4">
        <f t="shared" ca="1" si="55"/>
        <v>0.86111046479299058</v>
      </c>
      <c r="G888" s="5">
        <f t="shared" ca="1" si="56"/>
        <v>0.39082582795100462</v>
      </c>
    </row>
    <row r="889" spans="2:7" x14ac:dyDescent="0.25">
      <c r="B889" s="22">
        <v>884</v>
      </c>
      <c r="C889" s="4">
        <f t="shared" ca="1" si="58"/>
        <v>0.84582283576173767</v>
      </c>
      <c r="D889" s="5">
        <f t="shared" ca="1" si="58"/>
        <v>-0.89636840368462911</v>
      </c>
      <c r="E889">
        <f t="shared" ca="1" si="57"/>
        <v>0</v>
      </c>
      <c r="F889" s="4">
        <f t="shared" ca="1" si="55"/>
        <v>0</v>
      </c>
      <c r="G889" s="5">
        <f t="shared" ca="1" si="56"/>
        <v>0</v>
      </c>
    </row>
    <row r="890" spans="2:7" x14ac:dyDescent="0.25">
      <c r="B890" s="22">
        <v>885</v>
      </c>
      <c r="C890" s="4">
        <f t="shared" ca="1" si="58"/>
        <v>-0.14040969578111806</v>
      </c>
      <c r="D890" s="5">
        <f t="shared" ca="1" si="58"/>
        <v>0.81796924749631406</v>
      </c>
      <c r="E890">
        <f t="shared" ca="1" si="57"/>
        <v>1</v>
      </c>
      <c r="F890" s="4">
        <f t="shared" ca="1" si="55"/>
        <v>-0.14040969578111806</v>
      </c>
      <c r="G890" s="5">
        <f t="shared" ca="1" si="56"/>
        <v>0.81796924749631406</v>
      </c>
    </row>
    <row r="891" spans="2:7" x14ac:dyDescent="0.25">
      <c r="B891" s="22">
        <v>886</v>
      </c>
      <c r="C891" s="4">
        <f t="shared" ca="1" si="58"/>
        <v>-0.15182733508076351</v>
      </c>
      <c r="D891" s="5">
        <f t="shared" ca="1" si="58"/>
        <v>0.72743655161303833</v>
      </c>
      <c r="E891">
        <f t="shared" ca="1" si="57"/>
        <v>1</v>
      </c>
      <c r="F891" s="4">
        <f t="shared" ca="1" si="55"/>
        <v>-0.15182733508076351</v>
      </c>
      <c r="G891" s="5">
        <f t="shared" ca="1" si="56"/>
        <v>0.72743655161303833</v>
      </c>
    </row>
    <row r="892" spans="2:7" x14ac:dyDescent="0.25">
      <c r="B892" s="22">
        <v>887</v>
      </c>
      <c r="C892" s="4">
        <f t="shared" ca="1" si="58"/>
        <v>0.47663459047415713</v>
      </c>
      <c r="D892" s="5">
        <f t="shared" ca="1" si="58"/>
        <v>0.18147356496194855</v>
      </c>
      <c r="E892">
        <f t="shared" ca="1" si="57"/>
        <v>1</v>
      </c>
      <c r="F892" s="4">
        <f t="shared" ca="1" si="55"/>
        <v>0.47663459047415713</v>
      </c>
      <c r="G892" s="5">
        <f t="shared" ca="1" si="56"/>
        <v>0.18147356496194855</v>
      </c>
    </row>
    <row r="893" spans="2:7" x14ac:dyDescent="0.25">
      <c r="B893" s="22">
        <v>888</v>
      </c>
      <c r="C893" s="4">
        <f t="shared" ca="1" si="58"/>
        <v>0.80757296675181411</v>
      </c>
      <c r="D893" s="5">
        <f t="shared" ca="1" si="58"/>
        <v>0.2115721367390484</v>
      </c>
      <c r="E893">
        <f t="shared" ca="1" si="57"/>
        <v>1</v>
      </c>
      <c r="F893" s="4">
        <f t="shared" ca="1" si="55"/>
        <v>0.80757296675181411</v>
      </c>
      <c r="G893" s="5">
        <f t="shared" ca="1" si="56"/>
        <v>0.2115721367390484</v>
      </c>
    </row>
    <row r="894" spans="2:7" x14ac:dyDescent="0.25">
      <c r="B894" s="22">
        <v>889</v>
      </c>
      <c r="C894" s="4">
        <f t="shared" ca="1" si="58"/>
        <v>0.31172739599938404</v>
      </c>
      <c r="D894" s="5">
        <f t="shared" ca="1" si="58"/>
        <v>-0.20055642789642358</v>
      </c>
      <c r="E894">
        <f t="shared" ca="1" si="57"/>
        <v>1</v>
      </c>
      <c r="F894" s="4">
        <f t="shared" ca="1" si="55"/>
        <v>0.31172739599938404</v>
      </c>
      <c r="G894" s="5">
        <f t="shared" ca="1" si="56"/>
        <v>-0.20055642789642358</v>
      </c>
    </row>
    <row r="895" spans="2:7" x14ac:dyDescent="0.25">
      <c r="B895" s="22">
        <v>890</v>
      </c>
      <c r="C895" s="4">
        <f t="shared" ca="1" si="58"/>
        <v>-0.58951230379178376</v>
      </c>
      <c r="D895" s="5">
        <f t="shared" ca="1" si="58"/>
        <v>-0.23328214789775781</v>
      </c>
      <c r="E895">
        <f t="shared" ca="1" si="57"/>
        <v>1</v>
      </c>
      <c r="F895" s="4">
        <f t="shared" ca="1" si="55"/>
        <v>-0.58951230379178376</v>
      </c>
      <c r="G895" s="5">
        <f t="shared" ca="1" si="56"/>
        <v>-0.23328214789775781</v>
      </c>
    </row>
    <row r="896" spans="2:7" x14ac:dyDescent="0.25">
      <c r="B896" s="22">
        <v>891</v>
      </c>
      <c r="C896" s="4">
        <f t="shared" ca="1" si="58"/>
        <v>0.31284917109259447</v>
      </c>
      <c r="D896" s="5">
        <f t="shared" ca="1" si="58"/>
        <v>0.7742272326949029</v>
      </c>
      <c r="E896">
        <f t="shared" ca="1" si="57"/>
        <v>1</v>
      </c>
      <c r="F896" s="4">
        <f t="shared" ca="1" si="55"/>
        <v>0.31284917109259447</v>
      </c>
      <c r="G896" s="5">
        <f t="shared" ca="1" si="56"/>
        <v>0.7742272326949029</v>
      </c>
    </row>
    <row r="897" spans="2:7" x14ac:dyDescent="0.25">
      <c r="B897" s="22">
        <v>892</v>
      </c>
      <c r="C897" s="4">
        <f t="shared" ca="1" si="58"/>
        <v>-0.61467408107186805</v>
      </c>
      <c r="D897" s="5">
        <f t="shared" ca="1" si="58"/>
        <v>0.56096084195661322</v>
      </c>
      <c r="E897">
        <f t="shared" ca="1" si="57"/>
        <v>1</v>
      </c>
      <c r="F897" s="4">
        <f t="shared" ca="1" si="55"/>
        <v>-0.61467408107186805</v>
      </c>
      <c r="G897" s="5">
        <f t="shared" ca="1" si="56"/>
        <v>0.56096084195661322</v>
      </c>
    </row>
    <row r="898" spans="2:7" x14ac:dyDescent="0.25">
      <c r="B898" s="22">
        <v>893</v>
      </c>
      <c r="C898" s="4">
        <f t="shared" ca="1" si="58"/>
        <v>-0.83635996871539486</v>
      </c>
      <c r="D898" s="5">
        <f t="shared" ca="1" si="58"/>
        <v>-0.57072741029684071</v>
      </c>
      <c r="E898">
        <f t="shared" ca="1" si="57"/>
        <v>0</v>
      </c>
      <c r="F898" s="4">
        <f t="shared" ca="1" si="55"/>
        <v>0</v>
      </c>
      <c r="G898" s="5">
        <f t="shared" ca="1" si="56"/>
        <v>0</v>
      </c>
    </row>
    <row r="899" spans="2:7" x14ac:dyDescent="0.25">
      <c r="B899" s="22">
        <v>894</v>
      </c>
      <c r="C899" s="4">
        <f t="shared" ca="1" si="58"/>
        <v>-0.58556806662428373</v>
      </c>
      <c r="D899" s="5">
        <f t="shared" ca="1" si="58"/>
        <v>-2.6089116891985675E-2</v>
      </c>
      <c r="E899">
        <f t="shared" ca="1" si="57"/>
        <v>1</v>
      </c>
      <c r="F899" s="4">
        <f t="shared" ca="1" si="55"/>
        <v>-0.58556806662428373</v>
      </c>
      <c r="G899" s="5">
        <f t="shared" ca="1" si="56"/>
        <v>-2.6089116891985675E-2</v>
      </c>
    </row>
    <row r="900" spans="2:7" x14ac:dyDescent="0.25">
      <c r="B900" s="22">
        <v>895</v>
      </c>
      <c r="C900" s="4">
        <f t="shared" ca="1" si="58"/>
        <v>0.93945985609186455</v>
      </c>
      <c r="D900" s="5">
        <f t="shared" ca="1" si="58"/>
        <v>0.47322587265515348</v>
      </c>
      <c r="E900">
        <f t="shared" ca="1" si="57"/>
        <v>0</v>
      </c>
      <c r="F900" s="4">
        <f t="shared" ca="1" si="55"/>
        <v>0</v>
      </c>
      <c r="G900" s="5">
        <f t="shared" ca="1" si="56"/>
        <v>0</v>
      </c>
    </row>
    <row r="901" spans="2:7" x14ac:dyDescent="0.25">
      <c r="B901" s="22">
        <v>896</v>
      </c>
      <c r="C901" s="4">
        <f t="shared" ca="1" si="58"/>
        <v>-0.40052340274042009</v>
      </c>
      <c r="D901" s="5">
        <f t="shared" ca="1" si="58"/>
        <v>-0.38654898490363077</v>
      </c>
      <c r="E901">
        <f t="shared" ca="1" si="57"/>
        <v>1</v>
      </c>
      <c r="F901" s="4">
        <f t="shared" ca="1" si="55"/>
        <v>-0.40052340274042009</v>
      </c>
      <c r="G901" s="5">
        <f t="shared" ca="1" si="56"/>
        <v>-0.38654898490363077</v>
      </c>
    </row>
    <row r="902" spans="2:7" x14ac:dyDescent="0.25">
      <c r="B902" s="22">
        <v>897</v>
      </c>
      <c r="C902" s="4">
        <f t="shared" ca="1" si="58"/>
        <v>-0.24414900357245273</v>
      </c>
      <c r="D902" s="5">
        <f t="shared" ca="1" si="58"/>
        <v>0.84201717639092144</v>
      </c>
      <c r="E902">
        <f t="shared" ca="1" si="57"/>
        <v>1</v>
      </c>
      <c r="F902" s="4">
        <f t="shared" ref="F902:F965" ca="1" si="59">IF((C902^2+D902^2)&lt;1, C902, 0)</f>
        <v>-0.24414900357245273</v>
      </c>
      <c r="G902" s="5">
        <f t="shared" ref="G902:G965" ca="1" si="60">IF((C902^2+D902^2)&lt;1, D902, 0)</f>
        <v>0.84201717639092144</v>
      </c>
    </row>
    <row r="903" spans="2:7" x14ac:dyDescent="0.25">
      <c r="B903" s="22">
        <v>898</v>
      </c>
      <c r="C903" s="4">
        <f t="shared" ca="1" si="58"/>
        <v>-6.424186256744524E-2</v>
      </c>
      <c r="D903" s="5">
        <f t="shared" ca="1" si="58"/>
        <v>0.61306961978828656</v>
      </c>
      <c r="E903">
        <f t="shared" ref="E903:E966" ca="1" si="61">IF(C903^2+D903^2&lt;1, 1, 0)</f>
        <v>1</v>
      </c>
      <c r="F903" s="4">
        <f t="shared" ca="1" si="59"/>
        <v>-6.424186256744524E-2</v>
      </c>
      <c r="G903" s="5">
        <f t="shared" ca="1" si="60"/>
        <v>0.61306961978828656</v>
      </c>
    </row>
    <row r="904" spans="2:7" x14ac:dyDescent="0.25">
      <c r="B904" s="22">
        <v>899</v>
      </c>
      <c r="C904" s="4">
        <f t="shared" ca="1" si="58"/>
        <v>0.50029634667613143</v>
      </c>
      <c r="D904" s="5">
        <f t="shared" ca="1" si="58"/>
        <v>0.3991773515985535</v>
      </c>
      <c r="E904">
        <f t="shared" ca="1" si="61"/>
        <v>1</v>
      </c>
      <c r="F904" s="4">
        <f t="shared" ca="1" si="59"/>
        <v>0.50029634667613143</v>
      </c>
      <c r="G904" s="5">
        <f t="shared" ca="1" si="60"/>
        <v>0.3991773515985535</v>
      </c>
    </row>
    <row r="905" spans="2:7" x14ac:dyDescent="0.25">
      <c r="B905" s="22">
        <v>900</v>
      </c>
      <c r="C905" s="4">
        <f t="shared" ca="1" si="58"/>
        <v>0.31627744302804817</v>
      </c>
      <c r="D905" s="5">
        <f t="shared" ca="1" si="58"/>
        <v>-0.62921662717631399</v>
      </c>
      <c r="E905">
        <f t="shared" ca="1" si="61"/>
        <v>1</v>
      </c>
      <c r="F905" s="4">
        <f t="shared" ca="1" si="59"/>
        <v>0.31627744302804817</v>
      </c>
      <c r="G905" s="5">
        <f t="shared" ca="1" si="60"/>
        <v>-0.62921662717631399</v>
      </c>
    </row>
    <row r="906" spans="2:7" x14ac:dyDescent="0.25">
      <c r="B906" s="22">
        <v>901</v>
      </c>
      <c r="C906" s="4">
        <f t="shared" ca="1" si="58"/>
        <v>9.2754412194847813E-2</v>
      </c>
      <c r="D906" s="5">
        <f t="shared" ca="1" si="58"/>
        <v>0.91537771203789742</v>
      </c>
      <c r="E906">
        <f t="shared" ca="1" si="61"/>
        <v>1</v>
      </c>
      <c r="F906" s="4">
        <f t="shared" ca="1" si="59"/>
        <v>9.2754412194847813E-2</v>
      </c>
      <c r="G906" s="5">
        <f t="shared" ca="1" si="60"/>
        <v>0.91537771203789742</v>
      </c>
    </row>
    <row r="907" spans="2:7" x14ac:dyDescent="0.25">
      <c r="B907" s="22">
        <v>902</v>
      </c>
      <c r="C907" s="4">
        <f t="shared" ca="1" si="58"/>
        <v>-0.85636084825014835</v>
      </c>
      <c r="D907" s="5">
        <f t="shared" ca="1" si="58"/>
        <v>0.41818759111022286</v>
      </c>
      <c r="E907">
        <f t="shared" ca="1" si="61"/>
        <v>1</v>
      </c>
      <c r="F907" s="4">
        <f t="shared" ca="1" si="59"/>
        <v>-0.85636084825014835</v>
      </c>
      <c r="G907" s="5">
        <f t="shared" ca="1" si="60"/>
        <v>0.41818759111022286</v>
      </c>
    </row>
    <row r="908" spans="2:7" x14ac:dyDescent="0.25">
      <c r="B908" s="22">
        <v>903</v>
      </c>
      <c r="C908" s="4">
        <f t="shared" ca="1" si="58"/>
        <v>0.49773384078429905</v>
      </c>
      <c r="D908" s="5">
        <f t="shared" ca="1" si="58"/>
        <v>-0.54703426254606269</v>
      </c>
      <c r="E908">
        <f t="shared" ca="1" si="61"/>
        <v>1</v>
      </c>
      <c r="F908" s="4">
        <f t="shared" ca="1" si="59"/>
        <v>0.49773384078429905</v>
      </c>
      <c r="G908" s="5">
        <f t="shared" ca="1" si="60"/>
        <v>-0.54703426254606269</v>
      </c>
    </row>
    <row r="909" spans="2:7" x14ac:dyDescent="0.25">
      <c r="B909" s="22">
        <v>904</v>
      </c>
      <c r="C909" s="4">
        <f t="shared" ca="1" si="58"/>
        <v>-0.1265302498353631</v>
      </c>
      <c r="D909" s="5">
        <f t="shared" ca="1" si="58"/>
        <v>-0.21367833104664857</v>
      </c>
      <c r="E909">
        <f t="shared" ca="1" si="61"/>
        <v>1</v>
      </c>
      <c r="F909" s="4">
        <f t="shared" ca="1" si="59"/>
        <v>-0.1265302498353631</v>
      </c>
      <c r="G909" s="5">
        <f t="shared" ca="1" si="60"/>
        <v>-0.21367833104664857</v>
      </c>
    </row>
    <row r="910" spans="2:7" x14ac:dyDescent="0.25">
      <c r="B910" s="22">
        <v>905</v>
      </c>
      <c r="C910" s="4">
        <f t="shared" ca="1" si="58"/>
        <v>0.39336042444173458</v>
      </c>
      <c r="D910" s="5">
        <f t="shared" ca="1" si="58"/>
        <v>0.40814452193205408</v>
      </c>
      <c r="E910">
        <f t="shared" ca="1" si="61"/>
        <v>1</v>
      </c>
      <c r="F910" s="4">
        <f t="shared" ca="1" si="59"/>
        <v>0.39336042444173458</v>
      </c>
      <c r="G910" s="5">
        <f t="shared" ca="1" si="60"/>
        <v>0.40814452193205408</v>
      </c>
    </row>
    <row r="911" spans="2:7" x14ac:dyDescent="0.25">
      <c r="B911" s="22">
        <v>906</v>
      </c>
      <c r="C911" s="4">
        <f t="shared" ca="1" si="58"/>
        <v>0.71021728500226522</v>
      </c>
      <c r="D911" s="5">
        <f t="shared" ca="1" si="58"/>
        <v>6.8531830578274944E-2</v>
      </c>
      <c r="E911">
        <f t="shared" ca="1" si="61"/>
        <v>1</v>
      </c>
      <c r="F911" s="4">
        <f t="shared" ca="1" si="59"/>
        <v>0.71021728500226522</v>
      </c>
      <c r="G911" s="5">
        <f t="shared" ca="1" si="60"/>
        <v>6.8531830578274944E-2</v>
      </c>
    </row>
    <row r="912" spans="2:7" x14ac:dyDescent="0.25">
      <c r="B912" s="22">
        <v>907</v>
      </c>
      <c r="C912" s="4">
        <f t="shared" ca="1" si="58"/>
        <v>0.7541977850893391</v>
      </c>
      <c r="D912" s="5">
        <f t="shared" ca="1" si="58"/>
        <v>0.95120876521855102</v>
      </c>
      <c r="E912">
        <f t="shared" ca="1" si="61"/>
        <v>0</v>
      </c>
      <c r="F912" s="4">
        <f t="shared" ca="1" si="59"/>
        <v>0</v>
      </c>
      <c r="G912" s="5">
        <f t="shared" ca="1" si="60"/>
        <v>0</v>
      </c>
    </row>
    <row r="913" spans="2:7" x14ac:dyDescent="0.25">
      <c r="B913" s="22">
        <v>908</v>
      </c>
      <c r="C913" s="4">
        <f t="shared" ca="1" si="58"/>
        <v>0.32331476518919122</v>
      </c>
      <c r="D913" s="5">
        <f t="shared" ca="1" si="58"/>
        <v>-0.59370815939159227</v>
      </c>
      <c r="E913">
        <f t="shared" ca="1" si="61"/>
        <v>1</v>
      </c>
      <c r="F913" s="4">
        <f t="shared" ca="1" si="59"/>
        <v>0.32331476518919122</v>
      </c>
      <c r="G913" s="5">
        <f t="shared" ca="1" si="60"/>
        <v>-0.59370815939159227</v>
      </c>
    </row>
    <row r="914" spans="2:7" x14ac:dyDescent="0.25">
      <c r="B914" s="22">
        <v>909</v>
      </c>
      <c r="C914" s="4">
        <f t="shared" ca="1" si="58"/>
        <v>0.33743256454919868</v>
      </c>
      <c r="D914" s="5">
        <f t="shared" ca="1" si="58"/>
        <v>-0.27831519888299261</v>
      </c>
      <c r="E914">
        <f t="shared" ca="1" si="61"/>
        <v>1</v>
      </c>
      <c r="F914" s="4">
        <f t="shared" ca="1" si="59"/>
        <v>0.33743256454919868</v>
      </c>
      <c r="G914" s="5">
        <f t="shared" ca="1" si="60"/>
        <v>-0.27831519888299261</v>
      </c>
    </row>
    <row r="915" spans="2:7" x14ac:dyDescent="0.25">
      <c r="B915" s="22">
        <v>910</v>
      </c>
      <c r="C915" s="4">
        <f t="shared" ca="1" si="58"/>
        <v>0.48581596714645214</v>
      </c>
      <c r="D915" s="5">
        <f t="shared" ca="1" si="58"/>
        <v>0.43258683916117158</v>
      </c>
      <c r="E915">
        <f t="shared" ca="1" si="61"/>
        <v>1</v>
      </c>
      <c r="F915" s="4">
        <f t="shared" ca="1" si="59"/>
        <v>0.48581596714645214</v>
      </c>
      <c r="G915" s="5">
        <f t="shared" ca="1" si="60"/>
        <v>0.43258683916117158</v>
      </c>
    </row>
    <row r="916" spans="2:7" x14ac:dyDescent="0.25">
      <c r="B916" s="22">
        <v>911</v>
      </c>
      <c r="C916" s="4">
        <f t="shared" ca="1" si="58"/>
        <v>-0.90011376810124832</v>
      </c>
      <c r="D916" s="5">
        <f t="shared" ca="1" si="58"/>
        <v>0.50479199160743393</v>
      </c>
      <c r="E916">
        <f t="shared" ca="1" si="61"/>
        <v>0</v>
      </c>
      <c r="F916" s="4">
        <f t="shared" ca="1" si="59"/>
        <v>0</v>
      </c>
      <c r="G916" s="5">
        <f t="shared" ca="1" si="60"/>
        <v>0</v>
      </c>
    </row>
    <row r="917" spans="2:7" x14ac:dyDescent="0.25">
      <c r="B917" s="22">
        <v>912</v>
      </c>
      <c r="C917" s="4">
        <f t="shared" ca="1" si="58"/>
        <v>-0.32192284908448654</v>
      </c>
      <c r="D917" s="5">
        <f t="shared" ca="1" si="58"/>
        <v>-0.15887431850699185</v>
      </c>
      <c r="E917">
        <f t="shared" ca="1" si="61"/>
        <v>1</v>
      </c>
      <c r="F917" s="4">
        <f t="shared" ca="1" si="59"/>
        <v>-0.32192284908448654</v>
      </c>
      <c r="G917" s="5">
        <f t="shared" ca="1" si="60"/>
        <v>-0.15887431850699185</v>
      </c>
    </row>
    <row r="918" spans="2:7" x14ac:dyDescent="0.25">
      <c r="B918" s="22">
        <v>913</v>
      </c>
      <c r="C918" s="4">
        <f t="shared" ca="1" si="58"/>
        <v>8.2131451784756671E-2</v>
      </c>
      <c r="D918" s="5">
        <f t="shared" ca="1" si="58"/>
        <v>-0.65956179800843495</v>
      </c>
      <c r="E918">
        <f t="shared" ca="1" si="61"/>
        <v>1</v>
      </c>
      <c r="F918" s="4">
        <f t="shared" ca="1" si="59"/>
        <v>8.2131451784756671E-2</v>
      </c>
      <c r="G918" s="5">
        <f t="shared" ca="1" si="60"/>
        <v>-0.65956179800843495</v>
      </c>
    </row>
    <row r="919" spans="2:7" x14ac:dyDescent="0.25">
      <c r="B919" s="22">
        <v>914</v>
      </c>
      <c r="C919" s="4">
        <f t="shared" ref="C919:D982" ca="1" si="62">1-2*RAND()</f>
        <v>6.3708614738451796E-2</v>
      </c>
      <c r="D919" s="5">
        <f t="shared" ca="1" si="62"/>
        <v>0.80445027316700179</v>
      </c>
      <c r="E919">
        <f t="shared" ca="1" si="61"/>
        <v>1</v>
      </c>
      <c r="F919" s="4">
        <f t="shared" ca="1" si="59"/>
        <v>6.3708614738451796E-2</v>
      </c>
      <c r="G919" s="5">
        <f t="shared" ca="1" si="60"/>
        <v>0.80445027316700179</v>
      </c>
    </row>
    <row r="920" spans="2:7" x14ac:dyDescent="0.25">
      <c r="B920" s="22">
        <v>915</v>
      </c>
      <c r="C920" s="4">
        <f t="shared" ca="1" si="62"/>
        <v>-0.69338395066120362</v>
      </c>
      <c r="D920" s="5">
        <f t="shared" ca="1" si="62"/>
        <v>-0.15992203113558401</v>
      </c>
      <c r="E920">
        <f t="shared" ca="1" si="61"/>
        <v>1</v>
      </c>
      <c r="F920" s="4">
        <f t="shared" ca="1" si="59"/>
        <v>-0.69338395066120362</v>
      </c>
      <c r="G920" s="5">
        <f t="shared" ca="1" si="60"/>
        <v>-0.15992203113558401</v>
      </c>
    </row>
    <row r="921" spans="2:7" x14ac:dyDescent="0.25">
      <c r="B921" s="22">
        <v>916</v>
      </c>
      <c r="C921" s="4">
        <f t="shared" ca="1" si="62"/>
        <v>0.26041497625810694</v>
      </c>
      <c r="D921" s="5">
        <f t="shared" ca="1" si="62"/>
        <v>0.34479216813160662</v>
      </c>
      <c r="E921">
        <f t="shared" ca="1" si="61"/>
        <v>1</v>
      </c>
      <c r="F921" s="4">
        <f t="shared" ca="1" si="59"/>
        <v>0.26041497625810694</v>
      </c>
      <c r="G921" s="5">
        <f t="shared" ca="1" si="60"/>
        <v>0.34479216813160662</v>
      </c>
    </row>
    <row r="922" spans="2:7" x14ac:dyDescent="0.25">
      <c r="B922" s="22">
        <v>917</v>
      </c>
      <c r="C922" s="4">
        <f t="shared" ca="1" si="62"/>
        <v>0.20713428535261791</v>
      </c>
      <c r="D922" s="5">
        <f t="shared" ca="1" si="62"/>
        <v>-0.72903447937566423</v>
      </c>
      <c r="E922">
        <f t="shared" ca="1" si="61"/>
        <v>1</v>
      </c>
      <c r="F922" s="4">
        <f t="shared" ca="1" si="59"/>
        <v>0.20713428535261791</v>
      </c>
      <c r="G922" s="5">
        <f t="shared" ca="1" si="60"/>
        <v>-0.72903447937566423</v>
      </c>
    </row>
    <row r="923" spans="2:7" x14ac:dyDescent="0.25">
      <c r="B923" s="22">
        <v>918</v>
      </c>
      <c r="C923" s="4">
        <f t="shared" ca="1" si="62"/>
        <v>0.49891738779538009</v>
      </c>
      <c r="D923" s="5">
        <f t="shared" ca="1" si="62"/>
        <v>-0.92168255713628522</v>
      </c>
      <c r="E923">
        <f t="shared" ca="1" si="61"/>
        <v>0</v>
      </c>
      <c r="F923" s="4">
        <f t="shared" ca="1" si="59"/>
        <v>0</v>
      </c>
      <c r="G923" s="5">
        <f t="shared" ca="1" si="60"/>
        <v>0</v>
      </c>
    </row>
    <row r="924" spans="2:7" x14ac:dyDescent="0.25">
      <c r="B924" s="22">
        <v>919</v>
      </c>
      <c r="C924" s="4">
        <f t="shared" ca="1" si="62"/>
        <v>0.27605173368762448</v>
      </c>
      <c r="D924" s="5">
        <f t="shared" ca="1" si="62"/>
        <v>0.71851526827209522</v>
      </c>
      <c r="E924">
        <f t="shared" ca="1" si="61"/>
        <v>1</v>
      </c>
      <c r="F924" s="4">
        <f t="shared" ca="1" si="59"/>
        <v>0.27605173368762448</v>
      </c>
      <c r="G924" s="5">
        <f t="shared" ca="1" si="60"/>
        <v>0.71851526827209522</v>
      </c>
    </row>
    <row r="925" spans="2:7" x14ac:dyDescent="0.25">
      <c r="B925" s="22">
        <v>920</v>
      </c>
      <c r="C925" s="4">
        <f t="shared" ca="1" si="62"/>
        <v>-0.86349336430066104</v>
      </c>
      <c r="D925" s="5">
        <f t="shared" ca="1" si="62"/>
        <v>3.9402300822358738E-2</v>
      </c>
      <c r="E925">
        <f t="shared" ca="1" si="61"/>
        <v>1</v>
      </c>
      <c r="F925" s="4">
        <f t="shared" ca="1" si="59"/>
        <v>-0.86349336430066104</v>
      </c>
      <c r="G925" s="5">
        <f t="shared" ca="1" si="60"/>
        <v>3.9402300822358738E-2</v>
      </c>
    </row>
    <row r="926" spans="2:7" x14ac:dyDescent="0.25">
      <c r="B926" s="22">
        <v>921</v>
      </c>
      <c r="C926" s="4">
        <f t="shared" ca="1" si="62"/>
        <v>-5.8230378655903747E-2</v>
      </c>
      <c r="D926" s="5">
        <f t="shared" ca="1" si="62"/>
        <v>5.0192323556357055E-2</v>
      </c>
      <c r="E926">
        <f t="shared" ca="1" si="61"/>
        <v>1</v>
      </c>
      <c r="F926" s="4">
        <f t="shared" ca="1" si="59"/>
        <v>-5.8230378655903747E-2</v>
      </c>
      <c r="G926" s="5">
        <f t="shared" ca="1" si="60"/>
        <v>5.0192323556357055E-2</v>
      </c>
    </row>
    <row r="927" spans="2:7" x14ac:dyDescent="0.25">
      <c r="B927" s="22">
        <v>922</v>
      </c>
      <c r="C927" s="4">
        <f t="shared" ca="1" si="62"/>
        <v>0.5590277249009532</v>
      </c>
      <c r="D927" s="5">
        <f t="shared" ca="1" si="62"/>
        <v>0.73043384957408897</v>
      </c>
      <c r="E927">
        <f t="shared" ca="1" si="61"/>
        <v>1</v>
      </c>
      <c r="F927" s="4">
        <f t="shared" ca="1" si="59"/>
        <v>0.5590277249009532</v>
      </c>
      <c r="G927" s="5">
        <f t="shared" ca="1" si="60"/>
        <v>0.73043384957408897</v>
      </c>
    </row>
    <row r="928" spans="2:7" x14ac:dyDescent="0.25">
      <c r="B928" s="22">
        <v>923</v>
      </c>
      <c r="C928" s="4">
        <f t="shared" ca="1" si="62"/>
        <v>0.60167037950183921</v>
      </c>
      <c r="D928" s="5">
        <f t="shared" ca="1" si="62"/>
        <v>-0.84357322700191961</v>
      </c>
      <c r="E928">
        <f t="shared" ca="1" si="61"/>
        <v>0</v>
      </c>
      <c r="F928" s="4">
        <f t="shared" ca="1" si="59"/>
        <v>0</v>
      </c>
      <c r="G928" s="5">
        <f t="shared" ca="1" si="60"/>
        <v>0</v>
      </c>
    </row>
    <row r="929" spans="2:7" x14ac:dyDescent="0.25">
      <c r="B929" s="22">
        <v>924</v>
      </c>
      <c r="C929" s="4">
        <f t="shared" ca="1" si="62"/>
        <v>-0.8748873526171852</v>
      </c>
      <c r="D929" s="5">
        <f t="shared" ca="1" si="62"/>
        <v>0.41433262841156093</v>
      </c>
      <c r="E929">
        <f t="shared" ca="1" si="61"/>
        <v>1</v>
      </c>
      <c r="F929" s="4">
        <f t="shared" ca="1" si="59"/>
        <v>-0.8748873526171852</v>
      </c>
      <c r="G929" s="5">
        <f t="shared" ca="1" si="60"/>
        <v>0.41433262841156093</v>
      </c>
    </row>
    <row r="930" spans="2:7" x14ac:dyDescent="0.25">
      <c r="B930" s="22">
        <v>925</v>
      </c>
      <c r="C930" s="4">
        <f t="shared" ca="1" si="62"/>
        <v>0.57890648396610556</v>
      </c>
      <c r="D930" s="5">
        <f t="shared" ca="1" si="62"/>
        <v>-0.73490858294241024</v>
      </c>
      <c r="E930">
        <f t="shared" ca="1" si="61"/>
        <v>1</v>
      </c>
      <c r="F930" s="4">
        <f t="shared" ca="1" si="59"/>
        <v>0.57890648396610556</v>
      </c>
      <c r="G930" s="5">
        <f t="shared" ca="1" si="60"/>
        <v>-0.73490858294241024</v>
      </c>
    </row>
    <row r="931" spans="2:7" x14ac:dyDescent="0.25">
      <c r="B931" s="22">
        <v>926</v>
      </c>
      <c r="C931" s="4">
        <f t="shared" ca="1" si="62"/>
        <v>-7.6204214454414387E-2</v>
      </c>
      <c r="D931" s="5">
        <f t="shared" ca="1" si="62"/>
        <v>-0.49053392095818249</v>
      </c>
      <c r="E931">
        <f t="shared" ca="1" si="61"/>
        <v>1</v>
      </c>
      <c r="F931" s="4">
        <f t="shared" ca="1" si="59"/>
        <v>-7.6204214454414387E-2</v>
      </c>
      <c r="G931" s="5">
        <f t="shared" ca="1" si="60"/>
        <v>-0.49053392095818249</v>
      </c>
    </row>
    <row r="932" spans="2:7" x14ac:dyDescent="0.25">
      <c r="B932" s="22">
        <v>927</v>
      </c>
      <c r="C932" s="4">
        <f t="shared" ca="1" si="62"/>
        <v>-0.88879028061368315</v>
      </c>
      <c r="D932" s="5">
        <f t="shared" ca="1" si="62"/>
        <v>-0.38779727462093838</v>
      </c>
      <c r="E932">
        <f t="shared" ca="1" si="61"/>
        <v>1</v>
      </c>
      <c r="F932" s="4">
        <f t="shared" ca="1" si="59"/>
        <v>-0.88879028061368315</v>
      </c>
      <c r="G932" s="5">
        <f t="shared" ca="1" si="60"/>
        <v>-0.38779727462093838</v>
      </c>
    </row>
    <row r="933" spans="2:7" x14ac:dyDescent="0.25">
      <c r="B933" s="22">
        <v>928</v>
      </c>
      <c r="C933" s="4">
        <f t="shared" ca="1" si="62"/>
        <v>7.9025289864340209E-2</v>
      </c>
      <c r="D933" s="5">
        <f t="shared" ca="1" si="62"/>
        <v>-0.65973611242114583</v>
      </c>
      <c r="E933">
        <f t="shared" ca="1" si="61"/>
        <v>1</v>
      </c>
      <c r="F933" s="4">
        <f t="shared" ca="1" si="59"/>
        <v>7.9025289864340209E-2</v>
      </c>
      <c r="G933" s="5">
        <f t="shared" ca="1" si="60"/>
        <v>-0.65973611242114583</v>
      </c>
    </row>
    <row r="934" spans="2:7" x14ac:dyDescent="0.25">
      <c r="B934" s="22">
        <v>929</v>
      </c>
      <c r="C934" s="4">
        <f t="shared" ca="1" si="62"/>
        <v>-0.67513261414611359</v>
      </c>
      <c r="D934" s="5">
        <f t="shared" ca="1" si="62"/>
        <v>2.4177844278983285E-2</v>
      </c>
      <c r="E934">
        <f t="shared" ca="1" si="61"/>
        <v>1</v>
      </c>
      <c r="F934" s="4">
        <f t="shared" ca="1" si="59"/>
        <v>-0.67513261414611359</v>
      </c>
      <c r="G934" s="5">
        <f t="shared" ca="1" si="60"/>
        <v>2.4177844278983285E-2</v>
      </c>
    </row>
    <row r="935" spans="2:7" x14ac:dyDescent="0.25">
      <c r="B935" s="22">
        <v>930</v>
      </c>
      <c r="C935" s="4">
        <f t="shared" ca="1" si="62"/>
        <v>0.89288365594233232</v>
      </c>
      <c r="D935" s="5">
        <f t="shared" ca="1" si="62"/>
        <v>0.42035662055938539</v>
      </c>
      <c r="E935">
        <f t="shared" ca="1" si="61"/>
        <v>1</v>
      </c>
      <c r="F935" s="4">
        <f t="shared" ca="1" si="59"/>
        <v>0.89288365594233232</v>
      </c>
      <c r="G935" s="5">
        <f t="shared" ca="1" si="60"/>
        <v>0.42035662055938539</v>
      </c>
    </row>
    <row r="936" spans="2:7" x14ac:dyDescent="0.25">
      <c r="B936" s="22">
        <v>931</v>
      </c>
      <c r="C936" s="4">
        <f t="shared" ca="1" si="62"/>
        <v>-0.56900265803849925</v>
      </c>
      <c r="D936" s="5">
        <f t="shared" ca="1" si="62"/>
        <v>-0.71993640157094263</v>
      </c>
      <c r="E936">
        <f t="shared" ca="1" si="61"/>
        <v>1</v>
      </c>
      <c r="F936" s="4">
        <f t="shared" ca="1" si="59"/>
        <v>-0.56900265803849925</v>
      </c>
      <c r="G936" s="5">
        <f t="shared" ca="1" si="60"/>
        <v>-0.71993640157094263</v>
      </c>
    </row>
    <row r="937" spans="2:7" x14ac:dyDescent="0.25">
      <c r="B937" s="22">
        <v>932</v>
      </c>
      <c r="C937" s="4">
        <f t="shared" ca="1" si="62"/>
        <v>-0.52030539815903531</v>
      </c>
      <c r="D937" s="5">
        <f t="shared" ca="1" si="62"/>
        <v>-0.18296915198356856</v>
      </c>
      <c r="E937">
        <f t="shared" ca="1" si="61"/>
        <v>1</v>
      </c>
      <c r="F937" s="4">
        <f t="shared" ca="1" si="59"/>
        <v>-0.52030539815903531</v>
      </c>
      <c r="G937" s="5">
        <f t="shared" ca="1" si="60"/>
        <v>-0.18296915198356856</v>
      </c>
    </row>
    <row r="938" spans="2:7" x14ac:dyDescent="0.25">
      <c r="B938" s="22">
        <v>933</v>
      </c>
      <c r="C938" s="4">
        <f t="shared" ca="1" si="62"/>
        <v>-4.8849711514661331E-2</v>
      </c>
      <c r="D938" s="5">
        <f t="shared" ca="1" si="62"/>
        <v>-0.70849436552137357</v>
      </c>
      <c r="E938">
        <f t="shared" ca="1" si="61"/>
        <v>1</v>
      </c>
      <c r="F938" s="4">
        <f t="shared" ca="1" si="59"/>
        <v>-4.8849711514661331E-2</v>
      </c>
      <c r="G938" s="5">
        <f t="shared" ca="1" si="60"/>
        <v>-0.70849436552137357</v>
      </c>
    </row>
    <row r="939" spans="2:7" x14ac:dyDescent="0.25">
      <c r="B939" s="22">
        <v>934</v>
      </c>
      <c r="C939" s="4">
        <f t="shared" ca="1" si="62"/>
        <v>0.11589315474229367</v>
      </c>
      <c r="D939" s="5">
        <f t="shared" ca="1" si="62"/>
        <v>0.47880288731916831</v>
      </c>
      <c r="E939">
        <f t="shared" ca="1" si="61"/>
        <v>1</v>
      </c>
      <c r="F939" s="4">
        <f t="shared" ca="1" si="59"/>
        <v>0.11589315474229367</v>
      </c>
      <c r="G939" s="5">
        <f t="shared" ca="1" si="60"/>
        <v>0.47880288731916831</v>
      </c>
    </row>
    <row r="940" spans="2:7" x14ac:dyDescent="0.25">
      <c r="B940" s="22">
        <v>935</v>
      </c>
      <c r="C940" s="4">
        <f t="shared" ca="1" si="62"/>
        <v>-0.21412232551969379</v>
      </c>
      <c r="D940" s="5">
        <f t="shared" ca="1" si="62"/>
        <v>0.18894746962378783</v>
      </c>
      <c r="E940">
        <f t="shared" ca="1" si="61"/>
        <v>1</v>
      </c>
      <c r="F940" s="4">
        <f t="shared" ca="1" si="59"/>
        <v>-0.21412232551969379</v>
      </c>
      <c r="G940" s="5">
        <f t="shared" ca="1" si="60"/>
        <v>0.18894746962378783</v>
      </c>
    </row>
    <row r="941" spans="2:7" x14ac:dyDescent="0.25">
      <c r="B941" s="22">
        <v>936</v>
      </c>
      <c r="C941" s="4">
        <f t="shared" ca="1" si="62"/>
        <v>-0.93884290838051943</v>
      </c>
      <c r="D941" s="5">
        <f t="shared" ca="1" si="62"/>
        <v>-0.90448052985508198</v>
      </c>
      <c r="E941">
        <f t="shared" ca="1" si="61"/>
        <v>0</v>
      </c>
      <c r="F941" s="4">
        <f t="shared" ca="1" si="59"/>
        <v>0</v>
      </c>
      <c r="G941" s="5">
        <f t="shared" ca="1" si="60"/>
        <v>0</v>
      </c>
    </row>
    <row r="942" spans="2:7" x14ac:dyDescent="0.25">
      <c r="B942" s="22">
        <v>937</v>
      </c>
      <c r="C942" s="4">
        <f t="shared" ca="1" si="62"/>
        <v>0.91471105925193985</v>
      </c>
      <c r="D942" s="5">
        <f t="shared" ca="1" si="62"/>
        <v>0.37960373862748464</v>
      </c>
      <c r="E942">
        <f t="shared" ca="1" si="61"/>
        <v>1</v>
      </c>
      <c r="F942" s="4">
        <f t="shared" ca="1" si="59"/>
        <v>0.91471105925193985</v>
      </c>
      <c r="G942" s="5">
        <f t="shared" ca="1" si="60"/>
        <v>0.37960373862748464</v>
      </c>
    </row>
    <row r="943" spans="2:7" x14ac:dyDescent="0.25">
      <c r="B943" s="22">
        <v>938</v>
      </c>
      <c r="C943" s="4">
        <f t="shared" ca="1" si="62"/>
        <v>-0.53190499281666637</v>
      </c>
      <c r="D943" s="5">
        <f t="shared" ca="1" si="62"/>
        <v>0.58209815096911122</v>
      </c>
      <c r="E943">
        <f t="shared" ca="1" si="61"/>
        <v>1</v>
      </c>
      <c r="F943" s="4">
        <f t="shared" ca="1" si="59"/>
        <v>-0.53190499281666637</v>
      </c>
      <c r="G943" s="5">
        <f t="shared" ca="1" si="60"/>
        <v>0.58209815096911122</v>
      </c>
    </row>
    <row r="944" spans="2:7" x14ac:dyDescent="0.25">
      <c r="B944" s="22">
        <v>939</v>
      </c>
      <c r="C944" s="4">
        <f t="shared" ca="1" si="62"/>
        <v>-0.82992273197126964</v>
      </c>
      <c r="D944" s="5">
        <f t="shared" ca="1" si="62"/>
        <v>-0.36347560938778867</v>
      </c>
      <c r="E944">
        <f t="shared" ca="1" si="61"/>
        <v>1</v>
      </c>
      <c r="F944" s="4">
        <f t="shared" ca="1" si="59"/>
        <v>-0.82992273197126964</v>
      </c>
      <c r="G944" s="5">
        <f t="shared" ca="1" si="60"/>
        <v>-0.36347560938778867</v>
      </c>
    </row>
    <row r="945" spans="2:7" x14ac:dyDescent="0.25">
      <c r="B945" s="22">
        <v>940</v>
      </c>
      <c r="C945" s="4">
        <f t="shared" ca="1" si="62"/>
        <v>0.94927637182000368</v>
      </c>
      <c r="D945" s="5">
        <f t="shared" ca="1" si="62"/>
        <v>-0.21262103379611474</v>
      </c>
      <c r="E945">
        <f t="shared" ca="1" si="61"/>
        <v>1</v>
      </c>
      <c r="F945" s="4">
        <f t="shared" ca="1" si="59"/>
        <v>0.94927637182000368</v>
      </c>
      <c r="G945" s="5">
        <f t="shared" ca="1" si="60"/>
        <v>-0.21262103379611474</v>
      </c>
    </row>
    <row r="946" spans="2:7" x14ac:dyDescent="0.25">
      <c r="B946" s="22">
        <v>941</v>
      </c>
      <c r="C946" s="4">
        <f t="shared" ca="1" si="62"/>
        <v>-0.70100191084481134</v>
      </c>
      <c r="D946" s="5">
        <f t="shared" ca="1" si="62"/>
        <v>-0.47398611816880232</v>
      </c>
      <c r="E946">
        <f t="shared" ca="1" si="61"/>
        <v>1</v>
      </c>
      <c r="F946" s="4">
        <f t="shared" ca="1" si="59"/>
        <v>-0.70100191084481134</v>
      </c>
      <c r="G946" s="5">
        <f t="shared" ca="1" si="60"/>
        <v>-0.47398611816880232</v>
      </c>
    </row>
    <row r="947" spans="2:7" x14ac:dyDescent="0.25">
      <c r="B947" s="22">
        <v>942</v>
      </c>
      <c r="C947" s="4">
        <f t="shared" ca="1" si="62"/>
        <v>-0.69120713362912922</v>
      </c>
      <c r="D947" s="5">
        <f t="shared" ca="1" si="62"/>
        <v>0.53879690382212475</v>
      </c>
      <c r="E947">
        <f t="shared" ca="1" si="61"/>
        <v>1</v>
      </c>
      <c r="F947" s="4">
        <f t="shared" ca="1" si="59"/>
        <v>-0.69120713362912922</v>
      </c>
      <c r="G947" s="5">
        <f t="shared" ca="1" si="60"/>
        <v>0.53879690382212475</v>
      </c>
    </row>
    <row r="948" spans="2:7" x14ac:dyDescent="0.25">
      <c r="B948" s="22">
        <v>943</v>
      </c>
      <c r="C948" s="4">
        <f t="shared" ca="1" si="62"/>
        <v>0.75752904209582606</v>
      </c>
      <c r="D948" s="5">
        <f t="shared" ca="1" si="62"/>
        <v>0.97262704181317461</v>
      </c>
      <c r="E948">
        <f t="shared" ca="1" si="61"/>
        <v>0</v>
      </c>
      <c r="F948" s="4">
        <f t="shared" ca="1" si="59"/>
        <v>0</v>
      </c>
      <c r="G948" s="5">
        <f t="shared" ca="1" si="60"/>
        <v>0</v>
      </c>
    </row>
    <row r="949" spans="2:7" x14ac:dyDescent="0.25">
      <c r="B949" s="22">
        <v>944</v>
      </c>
      <c r="C949" s="4">
        <f t="shared" ca="1" si="62"/>
        <v>0.65426038254742558</v>
      </c>
      <c r="D949" s="5">
        <f t="shared" ca="1" si="62"/>
        <v>0.39172656474460932</v>
      </c>
      <c r="E949">
        <f t="shared" ca="1" si="61"/>
        <v>1</v>
      </c>
      <c r="F949" s="4">
        <f t="shared" ca="1" si="59"/>
        <v>0.65426038254742558</v>
      </c>
      <c r="G949" s="5">
        <f t="shared" ca="1" si="60"/>
        <v>0.39172656474460932</v>
      </c>
    </row>
    <row r="950" spans="2:7" x14ac:dyDescent="0.25">
      <c r="B950" s="22">
        <v>945</v>
      </c>
      <c r="C950" s="4">
        <f t="shared" ca="1" si="62"/>
        <v>0.10949189243571444</v>
      </c>
      <c r="D950" s="5">
        <f t="shared" ca="1" si="62"/>
        <v>0.66158532530585901</v>
      </c>
      <c r="E950">
        <f t="shared" ca="1" si="61"/>
        <v>1</v>
      </c>
      <c r="F950" s="4">
        <f t="shared" ca="1" si="59"/>
        <v>0.10949189243571444</v>
      </c>
      <c r="G950" s="5">
        <f t="shared" ca="1" si="60"/>
        <v>0.66158532530585901</v>
      </c>
    </row>
    <row r="951" spans="2:7" x14ac:dyDescent="0.25">
      <c r="B951" s="22">
        <v>946</v>
      </c>
      <c r="C951" s="4">
        <f t="shared" ca="1" si="62"/>
        <v>0.35269981339629441</v>
      </c>
      <c r="D951" s="5">
        <f t="shared" ca="1" si="62"/>
        <v>-0.80280930862128508</v>
      </c>
      <c r="E951">
        <f t="shared" ca="1" si="61"/>
        <v>1</v>
      </c>
      <c r="F951" s="4">
        <f t="shared" ca="1" si="59"/>
        <v>0.35269981339629441</v>
      </c>
      <c r="G951" s="5">
        <f t="shared" ca="1" si="60"/>
        <v>-0.80280930862128508</v>
      </c>
    </row>
    <row r="952" spans="2:7" x14ac:dyDescent="0.25">
      <c r="B952" s="22">
        <v>947</v>
      </c>
      <c r="C952" s="4">
        <f t="shared" ca="1" si="62"/>
        <v>-0.14493070452207957</v>
      </c>
      <c r="D952" s="5">
        <f t="shared" ca="1" si="62"/>
        <v>-1.6651795305492323E-2</v>
      </c>
      <c r="E952">
        <f t="shared" ca="1" si="61"/>
        <v>1</v>
      </c>
      <c r="F952" s="4">
        <f t="shared" ca="1" si="59"/>
        <v>-0.14493070452207957</v>
      </c>
      <c r="G952" s="5">
        <f t="shared" ca="1" si="60"/>
        <v>-1.6651795305492323E-2</v>
      </c>
    </row>
    <row r="953" spans="2:7" x14ac:dyDescent="0.25">
      <c r="B953" s="22">
        <v>948</v>
      </c>
      <c r="C953" s="4">
        <f t="shared" ca="1" si="62"/>
        <v>0.35202017915191175</v>
      </c>
      <c r="D953" s="5">
        <f t="shared" ca="1" si="62"/>
        <v>7.9702147946410395E-2</v>
      </c>
      <c r="E953">
        <f t="shared" ca="1" si="61"/>
        <v>1</v>
      </c>
      <c r="F953" s="4">
        <f t="shared" ca="1" si="59"/>
        <v>0.35202017915191175</v>
      </c>
      <c r="G953" s="5">
        <f t="shared" ca="1" si="60"/>
        <v>7.9702147946410395E-2</v>
      </c>
    </row>
    <row r="954" spans="2:7" x14ac:dyDescent="0.25">
      <c r="B954" s="22">
        <v>949</v>
      </c>
      <c r="C954" s="4">
        <f t="shared" ca="1" si="62"/>
        <v>0.57017262347472752</v>
      </c>
      <c r="D954" s="5">
        <f t="shared" ca="1" si="62"/>
        <v>0.63632334150568104</v>
      </c>
      <c r="E954">
        <f t="shared" ca="1" si="61"/>
        <v>1</v>
      </c>
      <c r="F954" s="4">
        <f t="shared" ca="1" si="59"/>
        <v>0.57017262347472752</v>
      </c>
      <c r="G954" s="5">
        <f t="shared" ca="1" si="60"/>
        <v>0.63632334150568104</v>
      </c>
    </row>
    <row r="955" spans="2:7" x14ac:dyDescent="0.25">
      <c r="B955" s="22">
        <v>950</v>
      </c>
      <c r="C955" s="4">
        <f t="shared" ca="1" si="62"/>
        <v>0.83823724617257422</v>
      </c>
      <c r="D955" s="5">
        <f t="shared" ca="1" si="62"/>
        <v>-0.68431486203459801</v>
      </c>
      <c r="E955">
        <f t="shared" ca="1" si="61"/>
        <v>0</v>
      </c>
      <c r="F955" s="4">
        <f t="shared" ca="1" si="59"/>
        <v>0</v>
      </c>
      <c r="G955" s="5">
        <f t="shared" ca="1" si="60"/>
        <v>0</v>
      </c>
    </row>
    <row r="956" spans="2:7" x14ac:dyDescent="0.25">
      <c r="B956" s="22">
        <v>951</v>
      </c>
      <c r="C956" s="4">
        <f t="shared" ca="1" si="62"/>
        <v>0.35561720002470887</v>
      </c>
      <c r="D956" s="5">
        <f t="shared" ca="1" si="62"/>
        <v>0.3908950586115405</v>
      </c>
      <c r="E956">
        <f t="shared" ca="1" si="61"/>
        <v>1</v>
      </c>
      <c r="F956" s="4">
        <f t="shared" ca="1" si="59"/>
        <v>0.35561720002470887</v>
      </c>
      <c r="G956" s="5">
        <f t="shared" ca="1" si="60"/>
        <v>0.3908950586115405</v>
      </c>
    </row>
    <row r="957" spans="2:7" x14ac:dyDescent="0.25">
      <c r="B957" s="22">
        <v>952</v>
      </c>
      <c r="C957" s="4">
        <f t="shared" ca="1" si="62"/>
        <v>-0.17795990104944148</v>
      </c>
      <c r="D957" s="5">
        <f t="shared" ca="1" si="62"/>
        <v>-0.28198563160267276</v>
      </c>
      <c r="E957">
        <f t="shared" ca="1" si="61"/>
        <v>1</v>
      </c>
      <c r="F957" s="4">
        <f t="shared" ca="1" si="59"/>
        <v>-0.17795990104944148</v>
      </c>
      <c r="G957" s="5">
        <f t="shared" ca="1" si="60"/>
        <v>-0.28198563160267276</v>
      </c>
    </row>
    <row r="958" spans="2:7" x14ac:dyDescent="0.25">
      <c r="B958" s="22">
        <v>953</v>
      </c>
      <c r="C958" s="4">
        <f t="shared" ca="1" si="62"/>
        <v>0.47507038613330699</v>
      </c>
      <c r="D958" s="5">
        <f t="shared" ca="1" si="62"/>
        <v>-0.85785712619629662</v>
      </c>
      <c r="E958">
        <f t="shared" ca="1" si="61"/>
        <v>1</v>
      </c>
      <c r="F958" s="4">
        <f t="shared" ca="1" si="59"/>
        <v>0.47507038613330699</v>
      </c>
      <c r="G958" s="5">
        <f t="shared" ca="1" si="60"/>
        <v>-0.85785712619629662</v>
      </c>
    </row>
    <row r="959" spans="2:7" x14ac:dyDescent="0.25">
      <c r="B959" s="22">
        <v>954</v>
      </c>
      <c r="C959" s="4">
        <f t="shared" ca="1" si="62"/>
        <v>-0.37224199202039632</v>
      </c>
      <c r="D959" s="5">
        <f t="shared" ca="1" si="62"/>
        <v>-0.50646848425501534</v>
      </c>
      <c r="E959">
        <f t="shared" ca="1" si="61"/>
        <v>1</v>
      </c>
      <c r="F959" s="4">
        <f t="shared" ca="1" si="59"/>
        <v>-0.37224199202039632</v>
      </c>
      <c r="G959" s="5">
        <f t="shared" ca="1" si="60"/>
        <v>-0.50646848425501534</v>
      </c>
    </row>
    <row r="960" spans="2:7" x14ac:dyDescent="0.25">
      <c r="B960" s="22">
        <v>955</v>
      </c>
      <c r="C960" s="4">
        <f t="shared" ca="1" si="62"/>
        <v>-0.26193766268421559</v>
      </c>
      <c r="D960" s="5">
        <f t="shared" ca="1" si="62"/>
        <v>-0.64236651087690988</v>
      </c>
      <c r="E960">
        <f t="shared" ca="1" si="61"/>
        <v>1</v>
      </c>
      <c r="F960" s="4">
        <f t="shared" ca="1" si="59"/>
        <v>-0.26193766268421559</v>
      </c>
      <c r="G960" s="5">
        <f t="shared" ca="1" si="60"/>
        <v>-0.64236651087690988</v>
      </c>
    </row>
    <row r="961" spans="2:7" x14ac:dyDescent="0.25">
      <c r="B961" s="22">
        <v>956</v>
      </c>
      <c r="C961" s="4">
        <f t="shared" ca="1" si="62"/>
        <v>0.43902075906701632</v>
      </c>
      <c r="D961" s="5">
        <f t="shared" ca="1" si="62"/>
        <v>-0.91267711566047027</v>
      </c>
      <c r="E961">
        <f t="shared" ca="1" si="61"/>
        <v>0</v>
      </c>
      <c r="F961" s="4">
        <f t="shared" ca="1" si="59"/>
        <v>0</v>
      </c>
      <c r="G961" s="5">
        <f t="shared" ca="1" si="60"/>
        <v>0</v>
      </c>
    </row>
    <row r="962" spans="2:7" x14ac:dyDescent="0.25">
      <c r="B962" s="22">
        <v>957</v>
      </c>
      <c r="C962" s="4">
        <f t="shared" ca="1" si="62"/>
        <v>0.87268259114089375</v>
      </c>
      <c r="D962" s="5">
        <f t="shared" ca="1" si="62"/>
        <v>0.76372085905487586</v>
      </c>
      <c r="E962">
        <f t="shared" ca="1" si="61"/>
        <v>0</v>
      </c>
      <c r="F962" s="4">
        <f t="shared" ca="1" si="59"/>
        <v>0</v>
      </c>
      <c r="G962" s="5">
        <f t="shared" ca="1" si="60"/>
        <v>0</v>
      </c>
    </row>
    <row r="963" spans="2:7" x14ac:dyDescent="0.25">
      <c r="B963" s="22">
        <v>958</v>
      </c>
      <c r="C963" s="4">
        <f t="shared" ca="1" si="62"/>
        <v>-0.25323142092343542</v>
      </c>
      <c r="D963" s="5">
        <f t="shared" ca="1" si="62"/>
        <v>-4.7550230326081522E-2</v>
      </c>
      <c r="E963">
        <f t="shared" ca="1" si="61"/>
        <v>1</v>
      </c>
      <c r="F963" s="4">
        <f t="shared" ca="1" si="59"/>
        <v>-0.25323142092343542</v>
      </c>
      <c r="G963" s="5">
        <f t="shared" ca="1" si="60"/>
        <v>-4.7550230326081522E-2</v>
      </c>
    </row>
    <row r="964" spans="2:7" x14ac:dyDescent="0.25">
      <c r="B964" s="22">
        <v>959</v>
      </c>
      <c r="C964" s="4">
        <f t="shared" ca="1" si="62"/>
        <v>-0.58192457393195296</v>
      </c>
      <c r="D964" s="5">
        <f t="shared" ca="1" si="62"/>
        <v>3.1814484916283359E-2</v>
      </c>
      <c r="E964">
        <f t="shared" ca="1" si="61"/>
        <v>1</v>
      </c>
      <c r="F964" s="4">
        <f t="shared" ca="1" si="59"/>
        <v>-0.58192457393195296</v>
      </c>
      <c r="G964" s="5">
        <f t="shared" ca="1" si="60"/>
        <v>3.1814484916283359E-2</v>
      </c>
    </row>
    <row r="965" spans="2:7" x14ac:dyDescent="0.25">
      <c r="B965" s="22">
        <v>960</v>
      </c>
      <c r="C965" s="4">
        <f t="shared" ca="1" si="62"/>
        <v>0.12259008804300064</v>
      </c>
      <c r="D965" s="5">
        <f t="shared" ca="1" si="62"/>
        <v>-0.14328870805391336</v>
      </c>
      <c r="E965">
        <f t="shared" ca="1" si="61"/>
        <v>1</v>
      </c>
      <c r="F965" s="4">
        <f t="shared" ca="1" si="59"/>
        <v>0.12259008804300064</v>
      </c>
      <c r="G965" s="5">
        <f t="shared" ca="1" si="60"/>
        <v>-0.14328870805391336</v>
      </c>
    </row>
    <row r="966" spans="2:7" x14ac:dyDescent="0.25">
      <c r="B966" s="22">
        <v>961</v>
      </c>
      <c r="C966" s="4">
        <f t="shared" ca="1" si="62"/>
        <v>0.42742828084022788</v>
      </c>
      <c r="D966" s="5">
        <f t="shared" ca="1" si="62"/>
        <v>0.80518986045781604</v>
      </c>
      <c r="E966">
        <f t="shared" ca="1" si="61"/>
        <v>1</v>
      </c>
      <c r="F966" s="4">
        <f t="shared" ref="F966:F1005" ca="1" si="63">IF((C966^2+D966^2)&lt;1, C966, 0)</f>
        <v>0.42742828084022788</v>
      </c>
      <c r="G966" s="5">
        <f t="shared" ref="G966:G1005" ca="1" si="64">IF((C966^2+D966^2)&lt;1, D966, 0)</f>
        <v>0.80518986045781604</v>
      </c>
    </row>
    <row r="967" spans="2:7" x14ac:dyDescent="0.25">
      <c r="B967" s="22">
        <v>962</v>
      </c>
      <c r="C967" s="4">
        <f t="shared" ca="1" si="62"/>
        <v>0.76765974800788062</v>
      </c>
      <c r="D967" s="5">
        <f t="shared" ca="1" si="62"/>
        <v>-7.7506169067500075E-2</v>
      </c>
      <c r="E967">
        <f t="shared" ref="E967:E1005" ca="1" si="65">IF(C967^2+D967^2&lt;1, 1, 0)</f>
        <v>1</v>
      </c>
      <c r="F967" s="4">
        <f t="shared" ca="1" si="63"/>
        <v>0.76765974800788062</v>
      </c>
      <c r="G967" s="5">
        <f t="shared" ca="1" si="64"/>
        <v>-7.7506169067500075E-2</v>
      </c>
    </row>
    <row r="968" spans="2:7" x14ac:dyDescent="0.25">
      <c r="B968" s="22">
        <v>963</v>
      </c>
      <c r="C968" s="4">
        <f t="shared" ca="1" si="62"/>
        <v>0.78020227618274718</v>
      </c>
      <c r="D968" s="5">
        <f t="shared" ca="1" si="62"/>
        <v>-0.78652702468275715</v>
      </c>
      <c r="E968">
        <f t="shared" ca="1" si="65"/>
        <v>0</v>
      </c>
      <c r="F968" s="4">
        <f t="shared" ca="1" si="63"/>
        <v>0</v>
      </c>
      <c r="G968" s="5">
        <f t="shared" ca="1" si="64"/>
        <v>0</v>
      </c>
    </row>
    <row r="969" spans="2:7" x14ac:dyDescent="0.25">
      <c r="B969" s="22">
        <v>964</v>
      </c>
      <c r="C969" s="4">
        <f t="shared" ca="1" si="62"/>
        <v>-0.24305805071485809</v>
      </c>
      <c r="D969" s="5">
        <f t="shared" ca="1" si="62"/>
        <v>-0.86372696167093932</v>
      </c>
      <c r="E969">
        <f t="shared" ca="1" si="65"/>
        <v>1</v>
      </c>
      <c r="F969" s="4">
        <f t="shared" ca="1" si="63"/>
        <v>-0.24305805071485809</v>
      </c>
      <c r="G969" s="5">
        <f t="shared" ca="1" si="64"/>
        <v>-0.86372696167093932</v>
      </c>
    </row>
    <row r="970" spans="2:7" x14ac:dyDescent="0.25">
      <c r="B970" s="22">
        <v>965</v>
      </c>
      <c r="C970" s="4">
        <f t="shared" ca="1" si="62"/>
        <v>-0.20475513296007675</v>
      </c>
      <c r="D970" s="5">
        <f t="shared" ca="1" si="62"/>
        <v>0.54213000717983673</v>
      </c>
      <c r="E970">
        <f t="shared" ca="1" si="65"/>
        <v>1</v>
      </c>
      <c r="F970" s="4">
        <f t="shared" ca="1" si="63"/>
        <v>-0.20475513296007675</v>
      </c>
      <c r="G970" s="5">
        <f t="shared" ca="1" si="64"/>
        <v>0.54213000717983673</v>
      </c>
    </row>
    <row r="971" spans="2:7" x14ac:dyDescent="0.25">
      <c r="B971" s="22">
        <v>966</v>
      </c>
      <c r="C971" s="4">
        <f t="shared" ca="1" si="62"/>
        <v>-0.96569546013275809</v>
      </c>
      <c r="D971" s="5">
        <f t="shared" ca="1" si="62"/>
        <v>0.38569396287890223</v>
      </c>
      <c r="E971">
        <f t="shared" ca="1" si="65"/>
        <v>0</v>
      </c>
      <c r="F971" s="4">
        <f t="shared" ca="1" si="63"/>
        <v>0</v>
      </c>
      <c r="G971" s="5">
        <f t="shared" ca="1" si="64"/>
        <v>0</v>
      </c>
    </row>
    <row r="972" spans="2:7" x14ac:dyDescent="0.25">
      <c r="B972" s="22">
        <v>967</v>
      </c>
      <c r="C972" s="4">
        <f t="shared" ca="1" si="62"/>
        <v>4.5079216164681357E-2</v>
      </c>
      <c r="D972" s="5">
        <f t="shared" ca="1" si="62"/>
        <v>0.89426860907164119</v>
      </c>
      <c r="E972">
        <f t="shared" ca="1" si="65"/>
        <v>1</v>
      </c>
      <c r="F972" s="4">
        <f t="shared" ca="1" si="63"/>
        <v>4.5079216164681357E-2</v>
      </c>
      <c r="G972" s="5">
        <f t="shared" ca="1" si="64"/>
        <v>0.89426860907164119</v>
      </c>
    </row>
    <row r="973" spans="2:7" x14ac:dyDescent="0.25">
      <c r="B973" s="22">
        <v>968</v>
      </c>
      <c r="C973" s="4">
        <f t="shared" ca="1" si="62"/>
        <v>-0.6783595175983459</v>
      </c>
      <c r="D973" s="5">
        <f t="shared" ca="1" si="62"/>
        <v>0.82866358670948115</v>
      </c>
      <c r="E973">
        <f t="shared" ca="1" si="65"/>
        <v>0</v>
      </c>
      <c r="F973" s="4">
        <f t="shared" ca="1" si="63"/>
        <v>0</v>
      </c>
      <c r="G973" s="5">
        <f t="shared" ca="1" si="64"/>
        <v>0</v>
      </c>
    </row>
    <row r="974" spans="2:7" x14ac:dyDescent="0.25">
      <c r="B974" s="22">
        <v>969</v>
      </c>
      <c r="C974" s="4">
        <f t="shared" ca="1" si="62"/>
        <v>-0.89990071968481278</v>
      </c>
      <c r="D974" s="5">
        <f t="shared" ca="1" si="62"/>
        <v>-0.63428289718015596</v>
      </c>
      <c r="E974">
        <f t="shared" ca="1" si="65"/>
        <v>0</v>
      </c>
      <c r="F974" s="4">
        <f t="shared" ca="1" si="63"/>
        <v>0</v>
      </c>
      <c r="G974" s="5">
        <f t="shared" ca="1" si="64"/>
        <v>0</v>
      </c>
    </row>
    <row r="975" spans="2:7" x14ac:dyDescent="0.25">
      <c r="B975" s="22">
        <v>970</v>
      </c>
      <c r="C975" s="4">
        <f t="shared" ca="1" si="62"/>
        <v>-0.19594009678938384</v>
      </c>
      <c r="D975" s="5">
        <f t="shared" ca="1" si="62"/>
        <v>-0.3003546134676931</v>
      </c>
      <c r="E975">
        <f t="shared" ca="1" si="65"/>
        <v>1</v>
      </c>
      <c r="F975" s="4">
        <f t="shared" ca="1" si="63"/>
        <v>-0.19594009678938384</v>
      </c>
      <c r="G975" s="5">
        <f t="shared" ca="1" si="64"/>
        <v>-0.3003546134676931</v>
      </c>
    </row>
    <row r="976" spans="2:7" x14ac:dyDescent="0.25">
      <c r="B976" s="22">
        <v>971</v>
      </c>
      <c r="C976" s="4">
        <f t="shared" ca="1" si="62"/>
        <v>0.8181212425223654</v>
      </c>
      <c r="D976" s="5">
        <f t="shared" ca="1" si="62"/>
        <v>-0.81004464562749212</v>
      </c>
      <c r="E976">
        <f t="shared" ca="1" si="65"/>
        <v>0</v>
      </c>
      <c r="F976" s="4">
        <f t="shared" ca="1" si="63"/>
        <v>0</v>
      </c>
      <c r="G976" s="5">
        <f t="shared" ca="1" si="64"/>
        <v>0</v>
      </c>
    </row>
    <row r="977" spans="2:7" x14ac:dyDescent="0.25">
      <c r="B977" s="22">
        <v>972</v>
      </c>
      <c r="C977" s="4">
        <f t="shared" ca="1" si="62"/>
        <v>-0.93724015877675382</v>
      </c>
      <c r="D977" s="5">
        <f t="shared" ca="1" si="62"/>
        <v>-0.91192725368484795</v>
      </c>
      <c r="E977">
        <f t="shared" ca="1" si="65"/>
        <v>0</v>
      </c>
      <c r="F977" s="4">
        <f t="shared" ca="1" si="63"/>
        <v>0</v>
      </c>
      <c r="G977" s="5">
        <f t="shared" ca="1" si="64"/>
        <v>0</v>
      </c>
    </row>
    <row r="978" spans="2:7" x14ac:dyDescent="0.25">
      <c r="B978" s="22">
        <v>973</v>
      </c>
      <c r="C978" s="4">
        <f t="shared" ca="1" si="62"/>
        <v>0.65934597661539995</v>
      </c>
      <c r="D978" s="5">
        <f t="shared" ca="1" si="62"/>
        <v>-0.79550881371423499</v>
      </c>
      <c r="E978">
        <f t="shared" ca="1" si="65"/>
        <v>0</v>
      </c>
      <c r="F978" s="4">
        <f t="shared" ca="1" si="63"/>
        <v>0</v>
      </c>
      <c r="G978" s="5">
        <f t="shared" ca="1" si="64"/>
        <v>0</v>
      </c>
    </row>
    <row r="979" spans="2:7" x14ac:dyDescent="0.25">
      <c r="B979" s="22">
        <v>974</v>
      </c>
      <c r="C979" s="4">
        <f t="shared" ca="1" si="62"/>
        <v>0.94630744520549115</v>
      </c>
      <c r="D979" s="5">
        <f t="shared" ca="1" si="62"/>
        <v>0.97672723922575311</v>
      </c>
      <c r="E979">
        <f t="shared" ca="1" si="65"/>
        <v>0</v>
      </c>
      <c r="F979" s="4">
        <f t="shared" ca="1" si="63"/>
        <v>0</v>
      </c>
      <c r="G979" s="5">
        <f t="shared" ca="1" si="64"/>
        <v>0</v>
      </c>
    </row>
    <row r="980" spans="2:7" x14ac:dyDescent="0.25">
      <c r="B980" s="22">
        <v>975</v>
      </c>
      <c r="C980" s="4">
        <f t="shared" ca="1" si="62"/>
        <v>-0.54034248749475911</v>
      </c>
      <c r="D980" s="5">
        <f t="shared" ca="1" si="62"/>
        <v>-0.86189466627463096</v>
      </c>
      <c r="E980">
        <f t="shared" ca="1" si="65"/>
        <v>0</v>
      </c>
      <c r="F980" s="4">
        <f t="shared" ca="1" si="63"/>
        <v>0</v>
      </c>
      <c r="G980" s="5">
        <f t="shared" ca="1" si="64"/>
        <v>0</v>
      </c>
    </row>
    <row r="981" spans="2:7" x14ac:dyDescent="0.25">
      <c r="B981" s="22">
        <v>976</v>
      </c>
      <c r="C981" s="4">
        <f t="shared" ca="1" si="62"/>
        <v>0.35908745678550424</v>
      </c>
      <c r="D981" s="5">
        <f t="shared" ca="1" si="62"/>
        <v>0.72512656038789647</v>
      </c>
      <c r="E981">
        <f t="shared" ca="1" si="65"/>
        <v>1</v>
      </c>
      <c r="F981" s="4">
        <f t="shared" ca="1" si="63"/>
        <v>0.35908745678550424</v>
      </c>
      <c r="G981" s="5">
        <f t="shared" ca="1" si="64"/>
        <v>0.72512656038789647</v>
      </c>
    </row>
    <row r="982" spans="2:7" x14ac:dyDescent="0.25">
      <c r="B982" s="22">
        <v>977</v>
      </c>
      <c r="C982" s="4">
        <f t="shared" ca="1" si="62"/>
        <v>0.13855613967271929</v>
      </c>
      <c r="D982" s="5">
        <f t="shared" ca="1" si="62"/>
        <v>-0.71959229224853494</v>
      </c>
      <c r="E982">
        <f t="shared" ca="1" si="65"/>
        <v>1</v>
      </c>
      <c r="F982" s="4">
        <f t="shared" ca="1" si="63"/>
        <v>0.13855613967271929</v>
      </c>
      <c r="G982" s="5">
        <f t="shared" ca="1" si="64"/>
        <v>-0.71959229224853494</v>
      </c>
    </row>
    <row r="983" spans="2:7" x14ac:dyDescent="0.25">
      <c r="B983" s="22">
        <v>978</v>
      </c>
      <c r="C983" s="4">
        <f t="shared" ref="C983:D1005" ca="1" si="66">1-2*RAND()</f>
        <v>-0.17491678153412438</v>
      </c>
      <c r="D983" s="5">
        <f t="shared" ca="1" si="66"/>
        <v>-0.81961243453483523</v>
      </c>
      <c r="E983">
        <f t="shared" ca="1" si="65"/>
        <v>1</v>
      </c>
      <c r="F983" s="4">
        <f t="shared" ca="1" si="63"/>
        <v>-0.17491678153412438</v>
      </c>
      <c r="G983" s="5">
        <f t="shared" ca="1" si="64"/>
        <v>-0.81961243453483523</v>
      </c>
    </row>
    <row r="984" spans="2:7" x14ac:dyDescent="0.25">
      <c r="B984" s="22">
        <v>979</v>
      </c>
      <c r="C984" s="4">
        <f t="shared" ca="1" si="66"/>
        <v>0.25695879012159661</v>
      </c>
      <c r="D984" s="5">
        <f t="shared" ca="1" si="66"/>
        <v>0.26894887493039366</v>
      </c>
      <c r="E984">
        <f t="shared" ca="1" si="65"/>
        <v>1</v>
      </c>
      <c r="F984" s="4">
        <f t="shared" ca="1" si="63"/>
        <v>0.25695879012159661</v>
      </c>
      <c r="G984" s="5">
        <f t="shared" ca="1" si="64"/>
        <v>0.26894887493039366</v>
      </c>
    </row>
    <row r="985" spans="2:7" x14ac:dyDescent="0.25">
      <c r="B985" s="22">
        <v>980</v>
      </c>
      <c r="C985" s="4">
        <f t="shared" ca="1" si="66"/>
        <v>-0.77706935659501819</v>
      </c>
      <c r="D985" s="5">
        <f t="shared" ca="1" si="66"/>
        <v>0.28137559435298898</v>
      </c>
      <c r="E985">
        <f t="shared" ca="1" si="65"/>
        <v>1</v>
      </c>
      <c r="F985" s="4">
        <f t="shared" ca="1" si="63"/>
        <v>-0.77706935659501819</v>
      </c>
      <c r="G985" s="5">
        <f t="shared" ca="1" si="64"/>
        <v>0.28137559435298898</v>
      </c>
    </row>
    <row r="986" spans="2:7" x14ac:dyDescent="0.25">
      <c r="B986" s="22">
        <v>981</v>
      </c>
      <c r="C986" s="4">
        <f t="shared" ca="1" si="66"/>
        <v>-0.3126301409836052</v>
      </c>
      <c r="D986" s="5">
        <f t="shared" ca="1" si="66"/>
        <v>-0.16529421038255765</v>
      </c>
      <c r="E986">
        <f t="shared" ca="1" si="65"/>
        <v>1</v>
      </c>
      <c r="F986" s="4">
        <f t="shared" ca="1" si="63"/>
        <v>-0.3126301409836052</v>
      </c>
      <c r="G986" s="5">
        <f t="shared" ca="1" si="64"/>
        <v>-0.16529421038255765</v>
      </c>
    </row>
    <row r="987" spans="2:7" x14ac:dyDescent="0.25">
      <c r="B987" s="22">
        <v>982</v>
      </c>
      <c r="C987" s="4">
        <f t="shared" ca="1" si="66"/>
        <v>-0.34679473306710551</v>
      </c>
      <c r="D987" s="5">
        <f t="shared" ca="1" si="66"/>
        <v>-0.87759183240520966</v>
      </c>
      <c r="E987">
        <f t="shared" ca="1" si="65"/>
        <v>1</v>
      </c>
      <c r="F987" s="4">
        <f t="shared" ca="1" si="63"/>
        <v>-0.34679473306710551</v>
      </c>
      <c r="G987" s="5">
        <f t="shared" ca="1" si="64"/>
        <v>-0.87759183240520966</v>
      </c>
    </row>
    <row r="988" spans="2:7" x14ac:dyDescent="0.25">
      <c r="B988" s="22">
        <v>983</v>
      </c>
      <c r="C988" s="4">
        <f t="shared" ca="1" si="66"/>
        <v>0.24255130132134761</v>
      </c>
      <c r="D988" s="5">
        <f t="shared" ca="1" si="66"/>
        <v>-0.86647841371459888</v>
      </c>
      <c r="E988">
        <f t="shared" ca="1" si="65"/>
        <v>1</v>
      </c>
      <c r="F988" s="4">
        <f t="shared" ca="1" si="63"/>
        <v>0.24255130132134761</v>
      </c>
      <c r="G988" s="5">
        <f t="shared" ca="1" si="64"/>
        <v>-0.86647841371459888</v>
      </c>
    </row>
    <row r="989" spans="2:7" x14ac:dyDescent="0.25">
      <c r="B989" s="22">
        <v>984</v>
      </c>
      <c r="C989" s="4">
        <f t="shared" ca="1" si="66"/>
        <v>0.20436004310973299</v>
      </c>
      <c r="D989" s="5">
        <f t="shared" ca="1" si="66"/>
        <v>-0.8294841520085634</v>
      </c>
      <c r="E989">
        <f t="shared" ca="1" si="65"/>
        <v>1</v>
      </c>
      <c r="F989" s="4">
        <f t="shared" ca="1" si="63"/>
        <v>0.20436004310973299</v>
      </c>
      <c r="G989" s="5">
        <f t="shared" ca="1" si="64"/>
        <v>-0.8294841520085634</v>
      </c>
    </row>
    <row r="990" spans="2:7" x14ac:dyDescent="0.25">
      <c r="B990" s="22">
        <v>985</v>
      </c>
      <c r="C990" s="4">
        <f t="shared" ca="1" si="66"/>
        <v>9.428225747342811E-2</v>
      </c>
      <c r="D990" s="5">
        <f t="shared" ca="1" si="66"/>
        <v>-0.19490140901190656</v>
      </c>
      <c r="E990">
        <f t="shared" ca="1" si="65"/>
        <v>1</v>
      </c>
      <c r="F990" s="4">
        <f t="shared" ca="1" si="63"/>
        <v>9.428225747342811E-2</v>
      </c>
      <c r="G990" s="5">
        <f t="shared" ca="1" si="64"/>
        <v>-0.19490140901190656</v>
      </c>
    </row>
    <row r="991" spans="2:7" x14ac:dyDescent="0.25">
      <c r="B991" s="22">
        <v>986</v>
      </c>
      <c r="C991" s="4">
        <f t="shared" ca="1" si="66"/>
        <v>-0.59459784407043248</v>
      </c>
      <c r="D991" s="5">
        <f t="shared" ca="1" si="66"/>
        <v>9.2576567281936306E-2</v>
      </c>
      <c r="E991">
        <f t="shared" ca="1" si="65"/>
        <v>1</v>
      </c>
      <c r="F991" s="4">
        <f t="shared" ca="1" si="63"/>
        <v>-0.59459784407043248</v>
      </c>
      <c r="G991" s="5">
        <f t="shared" ca="1" si="64"/>
        <v>9.2576567281936306E-2</v>
      </c>
    </row>
    <row r="992" spans="2:7" x14ac:dyDescent="0.25">
      <c r="B992" s="22">
        <v>987</v>
      </c>
      <c r="C992" s="4">
        <f t="shared" ca="1" si="66"/>
        <v>-0.17551602318178783</v>
      </c>
      <c r="D992" s="5">
        <f t="shared" ca="1" si="66"/>
        <v>0.78133507965124949</v>
      </c>
      <c r="E992">
        <f t="shared" ca="1" si="65"/>
        <v>1</v>
      </c>
      <c r="F992" s="4">
        <f t="shared" ca="1" si="63"/>
        <v>-0.17551602318178783</v>
      </c>
      <c r="G992" s="5">
        <f t="shared" ca="1" si="64"/>
        <v>0.78133507965124949</v>
      </c>
    </row>
    <row r="993" spans="2:7" x14ac:dyDescent="0.25">
      <c r="B993" s="22">
        <v>988</v>
      </c>
      <c r="C993" s="4">
        <f t="shared" ca="1" si="66"/>
        <v>0.64129298728243578</v>
      </c>
      <c r="D993" s="5">
        <f t="shared" ca="1" si="66"/>
        <v>0.26677341562737911</v>
      </c>
      <c r="E993">
        <f t="shared" ca="1" si="65"/>
        <v>1</v>
      </c>
      <c r="F993" s="4">
        <f t="shared" ca="1" si="63"/>
        <v>0.64129298728243578</v>
      </c>
      <c r="G993" s="5">
        <f t="shared" ca="1" si="64"/>
        <v>0.26677341562737911</v>
      </c>
    </row>
    <row r="994" spans="2:7" x14ac:dyDescent="0.25">
      <c r="B994" s="22">
        <v>989</v>
      </c>
      <c r="C994" s="4">
        <f t="shared" ca="1" si="66"/>
        <v>-0.88231291245227639</v>
      </c>
      <c r="D994" s="5">
        <f t="shared" ca="1" si="66"/>
        <v>-0.98992501184315973</v>
      </c>
      <c r="E994">
        <f t="shared" ca="1" si="65"/>
        <v>0</v>
      </c>
      <c r="F994" s="4">
        <f t="shared" ca="1" si="63"/>
        <v>0</v>
      </c>
      <c r="G994" s="5">
        <f t="shared" ca="1" si="64"/>
        <v>0</v>
      </c>
    </row>
    <row r="995" spans="2:7" x14ac:dyDescent="0.25">
      <c r="B995" s="22">
        <v>990</v>
      </c>
      <c r="C995" s="4">
        <f t="shared" ca="1" si="66"/>
        <v>-0.91612175447521049</v>
      </c>
      <c r="D995" s="5">
        <f t="shared" ca="1" si="66"/>
        <v>-0.57436933106240406</v>
      </c>
      <c r="E995">
        <f t="shared" ca="1" si="65"/>
        <v>0</v>
      </c>
      <c r="F995" s="4">
        <f t="shared" ca="1" si="63"/>
        <v>0</v>
      </c>
      <c r="G995" s="5">
        <f t="shared" ca="1" si="64"/>
        <v>0</v>
      </c>
    </row>
    <row r="996" spans="2:7" x14ac:dyDescent="0.25">
      <c r="B996" s="22">
        <v>991</v>
      </c>
      <c r="C996" s="4">
        <f t="shared" ca="1" si="66"/>
        <v>-0.19260815700545209</v>
      </c>
      <c r="D996" s="5">
        <f t="shared" ca="1" si="66"/>
        <v>-0.51864102606286311</v>
      </c>
      <c r="E996">
        <f t="shared" ca="1" si="65"/>
        <v>1</v>
      </c>
      <c r="F996" s="4">
        <f t="shared" ca="1" si="63"/>
        <v>-0.19260815700545209</v>
      </c>
      <c r="G996" s="5">
        <f t="shared" ca="1" si="64"/>
        <v>-0.51864102606286311</v>
      </c>
    </row>
    <row r="997" spans="2:7" x14ac:dyDescent="0.25">
      <c r="B997" s="22">
        <v>992</v>
      </c>
      <c r="C997" s="4">
        <f t="shared" ca="1" si="66"/>
        <v>-0.1189265832093831</v>
      </c>
      <c r="D997" s="5">
        <f t="shared" ca="1" si="66"/>
        <v>-0.26597427218964254</v>
      </c>
      <c r="E997">
        <f t="shared" ca="1" si="65"/>
        <v>1</v>
      </c>
      <c r="F997" s="4">
        <f t="shared" ca="1" si="63"/>
        <v>-0.1189265832093831</v>
      </c>
      <c r="G997" s="5">
        <f t="shared" ca="1" si="64"/>
        <v>-0.26597427218964254</v>
      </c>
    </row>
    <row r="998" spans="2:7" x14ac:dyDescent="0.25">
      <c r="B998" s="22">
        <v>993</v>
      </c>
      <c r="C998" s="4">
        <f t="shared" ca="1" si="66"/>
        <v>-0.27815682669151687</v>
      </c>
      <c r="D998" s="5">
        <f t="shared" ca="1" si="66"/>
        <v>-0.70596019895386286</v>
      </c>
      <c r="E998">
        <f t="shared" ca="1" si="65"/>
        <v>1</v>
      </c>
      <c r="F998" s="4">
        <f t="shared" ca="1" si="63"/>
        <v>-0.27815682669151687</v>
      </c>
      <c r="G998" s="5">
        <f t="shared" ca="1" si="64"/>
        <v>-0.70596019895386286</v>
      </c>
    </row>
    <row r="999" spans="2:7" x14ac:dyDescent="0.25">
      <c r="B999" s="22">
        <v>994</v>
      </c>
      <c r="C999" s="4">
        <f t="shared" ca="1" si="66"/>
        <v>-0.67144396794782835</v>
      </c>
      <c r="D999" s="5">
        <f t="shared" ca="1" si="66"/>
        <v>0.28063062853378451</v>
      </c>
      <c r="E999">
        <f t="shared" ca="1" si="65"/>
        <v>1</v>
      </c>
      <c r="F999" s="4">
        <f t="shared" ca="1" si="63"/>
        <v>-0.67144396794782835</v>
      </c>
      <c r="G999" s="5">
        <f t="shared" ca="1" si="64"/>
        <v>0.28063062853378451</v>
      </c>
    </row>
    <row r="1000" spans="2:7" x14ac:dyDescent="0.25">
      <c r="B1000" s="22">
        <v>995</v>
      </c>
      <c r="C1000" s="4">
        <f t="shared" ca="1" si="66"/>
        <v>-0.25549400395610888</v>
      </c>
      <c r="D1000" s="5">
        <f t="shared" ca="1" si="66"/>
        <v>0.89698982524008342</v>
      </c>
      <c r="E1000">
        <f t="shared" ca="1" si="65"/>
        <v>1</v>
      </c>
      <c r="F1000" s="4">
        <f t="shared" ca="1" si="63"/>
        <v>-0.25549400395610888</v>
      </c>
      <c r="G1000" s="5">
        <f t="shared" ca="1" si="64"/>
        <v>0.89698982524008342</v>
      </c>
    </row>
    <row r="1001" spans="2:7" x14ac:dyDescent="0.25">
      <c r="B1001" s="22">
        <v>996</v>
      </c>
      <c r="C1001" s="4">
        <f t="shared" ca="1" si="66"/>
        <v>-0.3032770484370344</v>
      </c>
      <c r="D1001" s="5">
        <f t="shared" ca="1" si="66"/>
        <v>0.95966834915167598</v>
      </c>
      <c r="E1001">
        <f t="shared" ca="1" si="65"/>
        <v>0</v>
      </c>
      <c r="F1001" s="4">
        <f t="shared" ca="1" si="63"/>
        <v>0</v>
      </c>
      <c r="G1001" s="5">
        <f t="shared" ca="1" si="64"/>
        <v>0</v>
      </c>
    </row>
    <row r="1002" spans="2:7" x14ac:dyDescent="0.25">
      <c r="B1002" s="22">
        <v>997</v>
      </c>
      <c r="C1002" s="4">
        <f t="shared" ca="1" si="66"/>
        <v>9.6848604338531263E-2</v>
      </c>
      <c r="D1002" s="5">
        <f t="shared" ca="1" si="66"/>
        <v>0.14958652944821549</v>
      </c>
      <c r="E1002">
        <f t="shared" ca="1" si="65"/>
        <v>1</v>
      </c>
      <c r="F1002" s="4">
        <f t="shared" ca="1" si="63"/>
        <v>9.6848604338531263E-2</v>
      </c>
      <c r="G1002" s="5">
        <f t="shared" ca="1" si="64"/>
        <v>0.14958652944821549</v>
      </c>
    </row>
    <row r="1003" spans="2:7" x14ac:dyDescent="0.25">
      <c r="B1003" s="22">
        <v>998</v>
      </c>
      <c r="C1003" s="4">
        <f t="shared" ca="1" si="66"/>
        <v>0.48285038776965239</v>
      </c>
      <c r="D1003" s="5">
        <f t="shared" ca="1" si="66"/>
        <v>0.4800139862171322</v>
      </c>
      <c r="E1003">
        <f t="shared" ca="1" si="65"/>
        <v>1</v>
      </c>
      <c r="F1003" s="4">
        <f t="shared" ca="1" si="63"/>
        <v>0.48285038776965239</v>
      </c>
      <c r="G1003" s="5">
        <f t="shared" ca="1" si="64"/>
        <v>0.4800139862171322</v>
      </c>
    </row>
    <row r="1004" spans="2:7" x14ac:dyDescent="0.25">
      <c r="B1004" s="22">
        <v>999</v>
      </c>
      <c r="C1004" s="4">
        <f t="shared" ca="1" si="66"/>
        <v>0.71714673798571793</v>
      </c>
      <c r="D1004" s="5">
        <f t="shared" ca="1" si="66"/>
        <v>-0.96433942509460779</v>
      </c>
      <c r="E1004">
        <f t="shared" ca="1" si="65"/>
        <v>0</v>
      </c>
      <c r="F1004" s="4">
        <f t="shared" ca="1" si="63"/>
        <v>0</v>
      </c>
      <c r="G1004" s="5">
        <f t="shared" ca="1" si="64"/>
        <v>0</v>
      </c>
    </row>
    <row r="1005" spans="2:7" x14ac:dyDescent="0.25">
      <c r="B1005" s="23">
        <v>1000</v>
      </c>
      <c r="C1005" s="6">
        <f t="shared" ca="1" si="66"/>
        <v>0.26855999783461293</v>
      </c>
      <c r="D1005" s="8">
        <f t="shared" ca="1" si="66"/>
        <v>0.69729556508247881</v>
      </c>
      <c r="E1005" s="7">
        <f t="shared" ca="1" si="65"/>
        <v>1</v>
      </c>
      <c r="F1005" s="6">
        <f t="shared" ca="1" si="63"/>
        <v>0.26855999783461293</v>
      </c>
      <c r="G1005" s="8">
        <f t="shared" ca="1" si="64"/>
        <v>0.69729556508247881</v>
      </c>
    </row>
  </sheetData>
  <mergeCells count="11">
    <mergeCell ref="N8:O8"/>
    <mergeCell ref="N9:O9"/>
    <mergeCell ref="N10:O10"/>
    <mergeCell ref="N11:O11"/>
    <mergeCell ref="J10:L10"/>
    <mergeCell ref="J11:L11"/>
    <mergeCell ref="B1:F1"/>
    <mergeCell ref="J8:L8"/>
    <mergeCell ref="J9:L9"/>
    <mergeCell ref="C3:D3"/>
    <mergeCell ref="F3:G3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A779E-7E06-4B8D-846A-94A4F2938F93}">
  <dimension ref="A1:W691"/>
  <sheetViews>
    <sheetView workbookViewId="0">
      <selection activeCell="L37" sqref="L37"/>
    </sheetView>
  </sheetViews>
  <sheetFormatPr defaultRowHeight="15" x14ac:dyDescent="0.25"/>
  <cols>
    <col min="2" max="2" width="12.28515625" customWidth="1"/>
    <col min="3" max="4" width="12.5703125" customWidth="1"/>
    <col min="5" max="5" width="9.42578125" customWidth="1"/>
    <col min="6" max="6" width="10.140625" customWidth="1"/>
    <col min="7" max="7" width="13.140625" customWidth="1"/>
  </cols>
  <sheetData>
    <row r="1" spans="1:23" x14ac:dyDescent="0.25">
      <c r="V1" t="s">
        <v>68</v>
      </c>
      <c r="W1" t="s">
        <v>67</v>
      </c>
    </row>
    <row r="2" spans="1:23" x14ac:dyDescent="0.25">
      <c r="B2" s="36" t="s">
        <v>65</v>
      </c>
      <c r="C2" s="36"/>
      <c r="D2" s="36"/>
      <c r="E2" s="36"/>
      <c r="F2" s="36"/>
      <c r="V2">
        <v>1</v>
      </c>
      <c r="W2" s="28">
        <f ca="1">RAND()</f>
        <v>0.73784957220364089</v>
      </c>
    </row>
    <row r="3" spans="1:23" x14ac:dyDescent="0.25">
      <c r="V3">
        <v>2</v>
      </c>
      <c r="W3" s="28">
        <f t="shared" ref="W3:W66" ca="1" si="0">RAND()</f>
        <v>0.13777146193543643</v>
      </c>
    </row>
    <row r="4" spans="1:23" x14ac:dyDescent="0.25">
      <c r="A4" s="27"/>
      <c r="B4" s="38" t="s">
        <v>69</v>
      </c>
      <c r="C4" s="38"/>
      <c r="D4" s="38"/>
      <c r="E4" s="38"/>
      <c r="F4" s="38"/>
      <c r="V4">
        <v>3</v>
      </c>
      <c r="W4" s="28">
        <f t="shared" ca="1" si="0"/>
        <v>0.41705650039802566</v>
      </c>
    </row>
    <row r="5" spans="1:23" x14ac:dyDescent="0.25">
      <c r="V5">
        <v>4</v>
      </c>
      <c r="W5" s="28">
        <f t="shared" ca="1" si="0"/>
        <v>0.73582531749529789</v>
      </c>
    </row>
    <row r="6" spans="1:23" x14ac:dyDescent="0.25">
      <c r="B6" s="35" t="s">
        <v>70</v>
      </c>
      <c r="C6" s="35"/>
      <c r="D6" s="33">
        <f>COUNT(V2:V691)</f>
        <v>690</v>
      </c>
      <c r="E6" s="16"/>
      <c r="V6">
        <v>5</v>
      </c>
      <c r="W6" s="28">
        <f t="shared" ca="1" si="0"/>
        <v>0.84507211532624704</v>
      </c>
    </row>
    <row r="7" spans="1:23" x14ac:dyDescent="0.25">
      <c r="B7" s="35" t="s">
        <v>71</v>
      </c>
      <c r="C7" s="35"/>
      <c r="D7" s="34">
        <f ca="1">MIN(W2:W691)</f>
        <v>4.5386177106454539E-4</v>
      </c>
      <c r="F7" s="11"/>
      <c r="V7">
        <v>6</v>
      </c>
      <c r="W7" s="28">
        <f t="shared" ca="1" si="0"/>
        <v>0.97952943109962665</v>
      </c>
    </row>
    <row r="8" spans="1:23" x14ac:dyDescent="0.25">
      <c r="B8" s="35" t="s">
        <v>72</v>
      </c>
      <c r="C8" s="35"/>
      <c r="D8" s="26">
        <f ca="1">MAX(W2:W692)</f>
        <v>0.99903822775580431</v>
      </c>
      <c r="V8">
        <v>7</v>
      </c>
      <c r="W8" s="28">
        <f t="shared" ca="1" si="0"/>
        <v>0.78630612927344656</v>
      </c>
    </row>
    <row r="9" spans="1:23" x14ac:dyDescent="0.25">
      <c r="B9" s="37" t="s">
        <v>76</v>
      </c>
      <c r="C9" s="37"/>
      <c r="D9" s="37"/>
      <c r="E9" s="37"/>
      <c r="F9" s="37"/>
      <c r="V9">
        <v>8</v>
      </c>
      <c r="W9" s="28">
        <f t="shared" ca="1" si="0"/>
        <v>7.0767735438333035E-2</v>
      </c>
    </row>
    <row r="10" spans="1:23" x14ac:dyDescent="0.25">
      <c r="B10" t="s">
        <v>77</v>
      </c>
      <c r="V10">
        <v>9</v>
      </c>
      <c r="W10" s="28">
        <f t="shared" ca="1" si="0"/>
        <v>0.64615734632448074</v>
      </c>
    </row>
    <row r="11" spans="1:23" x14ac:dyDescent="0.25">
      <c r="B11" s="35" t="s">
        <v>79</v>
      </c>
      <c r="C11" s="35"/>
      <c r="D11" s="32">
        <v>10</v>
      </c>
      <c r="E11" s="35"/>
      <c r="F11" s="35"/>
      <c r="G11" s="35"/>
      <c r="V11">
        <v>10</v>
      </c>
      <c r="W11" s="28">
        <f t="shared" ca="1" si="0"/>
        <v>6.3244471311772021E-2</v>
      </c>
    </row>
    <row r="12" spans="1:23" x14ac:dyDescent="0.25">
      <c r="B12" s="35" t="s">
        <v>78</v>
      </c>
      <c r="C12" s="35"/>
      <c r="D12" s="20">
        <f>D6/D11</f>
        <v>69</v>
      </c>
      <c r="E12" s="35" t="s">
        <v>80</v>
      </c>
      <c r="F12" s="35"/>
      <c r="G12" s="35"/>
      <c r="V12">
        <v>11</v>
      </c>
      <c r="W12" s="28">
        <f t="shared" ca="1" si="0"/>
        <v>7.0980852069311262E-2</v>
      </c>
    </row>
    <row r="13" spans="1:23" x14ac:dyDescent="0.25">
      <c r="V13">
        <v>12</v>
      </c>
      <c r="W13" s="28">
        <f t="shared" ca="1" si="0"/>
        <v>0.53311661979764846</v>
      </c>
    </row>
    <row r="14" spans="1:23" ht="60" x14ac:dyDescent="0.25">
      <c r="B14" s="31" t="s">
        <v>75</v>
      </c>
      <c r="C14" s="31" t="s">
        <v>73</v>
      </c>
      <c r="D14" s="31" t="s">
        <v>74</v>
      </c>
      <c r="E14" s="31" t="s">
        <v>87</v>
      </c>
      <c r="F14" s="31" t="s">
        <v>66</v>
      </c>
      <c r="G14" s="31" t="s">
        <v>86</v>
      </c>
      <c r="V14">
        <v>13</v>
      </c>
      <c r="W14" s="28">
        <f t="shared" ca="1" si="0"/>
        <v>0.12340871126045416</v>
      </c>
    </row>
    <row r="15" spans="1:23" x14ac:dyDescent="0.25">
      <c r="B15" s="28">
        <v>1</v>
      </c>
      <c r="C15" s="28">
        <v>0</v>
      </c>
      <c r="D15" s="28">
        <f>'Q7-ChiSquareTest'!$C15+0.1</f>
        <v>0.1</v>
      </c>
      <c r="E15" s="28">
        <f t="array" aca="1" ref="E15:E24" ca="1">FREQUENCY(W2:W692, 'Q7-ChiSquareTest'!$D$15:$D$24)</f>
        <v>74</v>
      </c>
      <c r="F15" s="28">
        <f>$D$12</f>
        <v>69</v>
      </c>
      <c r="G15" s="28">
        <f ca="1">('Q7-ChiSquareTest'!$E15-'Q7-ChiSquareTest'!$F15)^2/'Q7-ChiSquareTest'!$F15</f>
        <v>0.36231884057971014</v>
      </c>
      <c r="V15">
        <v>14</v>
      </c>
      <c r="W15" s="28">
        <f t="shared" ca="1" si="0"/>
        <v>0.84126882264558489</v>
      </c>
    </row>
    <row r="16" spans="1:23" x14ac:dyDescent="0.25">
      <c r="B16" s="29">
        <v>2</v>
      </c>
      <c r="C16" s="29">
        <f>D15</f>
        <v>0.1</v>
      </c>
      <c r="D16" s="29">
        <f>'Q7-ChiSquareTest'!$C16+0.1</f>
        <v>0.2</v>
      </c>
      <c r="E16" s="29">
        <f ca="1"/>
        <v>68</v>
      </c>
      <c r="F16" s="29">
        <f t="shared" ref="F16:F24" si="1">$D$12</f>
        <v>69</v>
      </c>
      <c r="G16" s="28">
        <f ca="1">('Q7-ChiSquareTest'!$E16-'Q7-ChiSquareTest'!$F16)^2/'Q7-ChiSquareTest'!$F16</f>
        <v>1.4492753623188406E-2</v>
      </c>
      <c r="V16">
        <v>15</v>
      </c>
      <c r="W16" s="28">
        <f t="shared" ca="1" si="0"/>
        <v>0.15230401672619043</v>
      </c>
    </row>
    <row r="17" spans="2:23" x14ac:dyDescent="0.25">
      <c r="B17" s="28">
        <v>3</v>
      </c>
      <c r="C17" s="28">
        <f t="shared" ref="C17:C24" si="2">D16</f>
        <v>0.2</v>
      </c>
      <c r="D17" s="28">
        <f>'Q7-ChiSquareTest'!$C17+0.1</f>
        <v>0.30000000000000004</v>
      </c>
      <c r="E17" s="28">
        <f ca="1"/>
        <v>79</v>
      </c>
      <c r="F17" s="28">
        <f t="shared" si="1"/>
        <v>69</v>
      </c>
      <c r="G17" s="28">
        <f ca="1">('Q7-ChiSquareTest'!$E17-'Q7-ChiSquareTest'!$F17)^2/'Q7-ChiSquareTest'!$F17</f>
        <v>1.4492753623188406</v>
      </c>
      <c r="V17">
        <v>16</v>
      </c>
      <c r="W17" s="28">
        <f t="shared" ca="1" si="0"/>
        <v>0.93550664474760015</v>
      </c>
    </row>
    <row r="18" spans="2:23" x14ac:dyDescent="0.25">
      <c r="B18" s="29">
        <v>4</v>
      </c>
      <c r="C18" s="29">
        <f t="shared" si="2"/>
        <v>0.30000000000000004</v>
      </c>
      <c r="D18" s="29">
        <f>'Q7-ChiSquareTest'!$C18+0.1</f>
        <v>0.4</v>
      </c>
      <c r="E18" s="29">
        <f ca="1"/>
        <v>63</v>
      </c>
      <c r="F18" s="29">
        <f t="shared" si="1"/>
        <v>69</v>
      </c>
      <c r="G18" s="28">
        <f ca="1">('Q7-ChiSquareTest'!$E18-'Q7-ChiSquareTest'!$F18)^2/'Q7-ChiSquareTest'!$F18</f>
        <v>0.52173913043478259</v>
      </c>
      <c r="V18">
        <v>17</v>
      </c>
      <c r="W18" s="28">
        <f t="shared" ca="1" si="0"/>
        <v>6.8067265158764712E-2</v>
      </c>
    </row>
    <row r="19" spans="2:23" x14ac:dyDescent="0.25">
      <c r="B19" s="28">
        <v>5</v>
      </c>
      <c r="C19" s="28">
        <f t="shared" si="2"/>
        <v>0.4</v>
      </c>
      <c r="D19" s="28">
        <f>'Q7-ChiSquareTest'!$C19+0.1</f>
        <v>0.5</v>
      </c>
      <c r="E19" s="28">
        <f ca="1"/>
        <v>60</v>
      </c>
      <c r="F19" s="28">
        <f t="shared" si="1"/>
        <v>69</v>
      </c>
      <c r="G19" s="28">
        <f ca="1">('Q7-ChiSquareTest'!$E19-'Q7-ChiSquareTest'!$F19)^2/'Q7-ChiSquareTest'!$F19</f>
        <v>1.173913043478261</v>
      </c>
      <c r="V19">
        <v>18</v>
      </c>
      <c r="W19" s="28">
        <f t="shared" ca="1" si="0"/>
        <v>0.43633790502447922</v>
      </c>
    </row>
    <row r="20" spans="2:23" x14ac:dyDescent="0.25">
      <c r="B20" s="29">
        <v>6</v>
      </c>
      <c r="C20" s="29">
        <f t="shared" si="2"/>
        <v>0.5</v>
      </c>
      <c r="D20" s="29">
        <f>'Q7-ChiSquareTest'!$C20+0.1</f>
        <v>0.6</v>
      </c>
      <c r="E20" s="29">
        <f ca="1"/>
        <v>74</v>
      </c>
      <c r="F20" s="29">
        <f t="shared" si="1"/>
        <v>69</v>
      </c>
      <c r="G20" s="28">
        <f ca="1">('Q7-ChiSquareTest'!$E20-'Q7-ChiSquareTest'!$F20)^2/'Q7-ChiSquareTest'!$F20</f>
        <v>0.36231884057971014</v>
      </c>
      <c r="V20">
        <v>19</v>
      </c>
      <c r="W20" s="28">
        <f t="shared" ca="1" si="0"/>
        <v>0.86440307469813382</v>
      </c>
    </row>
    <row r="21" spans="2:23" x14ac:dyDescent="0.25">
      <c r="B21" s="28">
        <v>7</v>
      </c>
      <c r="C21" s="28">
        <f t="shared" si="2"/>
        <v>0.6</v>
      </c>
      <c r="D21" s="28">
        <f>'Q7-ChiSquareTest'!$C21+0.1</f>
        <v>0.7</v>
      </c>
      <c r="E21" s="28">
        <f ca="1"/>
        <v>65</v>
      </c>
      <c r="F21" s="28">
        <f t="shared" si="1"/>
        <v>69</v>
      </c>
      <c r="G21" s="28">
        <f ca="1">('Q7-ChiSquareTest'!$E21-'Q7-ChiSquareTest'!$F21)^2/'Q7-ChiSquareTest'!$F21</f>
        <v>0.2318840579710145</v>
      </c>
      <c r="V21">
        <v>20</v>
      </c>
      <c r="W21" s="28">
        <f t="shared" ca="1" si="0"/>
        <v>0.1585897937763896</v>
      </c>
    </row>
    <row r="22" spans="2:23" x14ac:dyDescent="0.25">
      <c r="B22" s="29">
        <v>8</v>
      </c>
      <c r="C22" s="29">
        <f t="shared" si="2"/>
        <v>0.7</v>
      </c>
      <c r="D22" s="29">
        <f>'Q7-ChiSquareTest'!$C22+0.1</f>
        <v>0.79999999999999993</v>
      </c>
      <c r="E22" s="29">
        <f ca="1"/>
        <v>80</v>
      </c>
      <c r="F22" s="29">
        <f t="shared" si="1"/>
        <v>69</v>
      </c>
      <c r="G22" s="28">
        <f ca="1">('Q7-ChiSquareTest'!$E22-'Q7-ChiSquareTest'!$F22)^2/'Q7-ChiSquareTest'!$F22</f>
        <v>1.7536231884057971</v>
      </c>
      <c r="V22">
        <v>21</v>
      </c>
      <c r="W22" s="28">
        <f t="shared" ca="1" si="0"/>
        <v>0.43971623187364228</v>
      </c>
    </row>
    <row r="23" spans="2:23" x14ac:dyDescent="0.25">
      <c r="B23" s="28">
        <v>9</v>
      </c>
      <c r="C23" s="28">
        <f t="shared" si="2"/>
        <v>0.79999999999999993</v>
      </c>
      <c r="D23" s="28">
        <f>'Q7-ChiSquareTest'!$C23+0.1</f>
        <v>0.89999999999999991</v>
      </c>
      <c r="E23" s="28">
        <f ca="1"/>
        <v>65</v>
      </c>
      <c r="F23" s="28">
        <f t="shared" si="1"/>
        <v>69</v>
      </c>
      <c r="G23" s="28">
        <f ca="1">('Q7-ChiSquareTest'!$E23-'Q7-ChiSquareTest'!$F23)^2/'Q7-ChiSquareTest'!$F23</f>
        <v>0.2318840579710145</v>
      </c>
      <c r="V23">
        <v>22</v>
      </c>
      <c r="W23" s="28">
        <f t="shared" ca="1" si="0"/>
        <v>0.53259826507884722</v>
      </c>
    </row>
    <row r="24" spans="2:23" ht="15.75" thickBot="1" x14ac:dyDescent="0.3">
      <c r="B24" s="29">
        <v>10</v>
      </c>
      <c r="C24" s="29">
        <f t="shared" si="2"/>
        <v>0.89999999999999991</v>
      </c>
      <c r="D24" s="29">
        <f>'Q7-ChiSquareTest'!$C24+0.1</f>
        <v>0.99999999999999989</v>
      </c>
      <c r="E24" s="29">
        <f ca="1"/>
        <v>62</v>
      </c>
      <c r="F24" s="29">
        <f t="shared" si="1"/>
        <v>69</v>
      </c>
      <c r="G24" s="28">
        <f ca="1">('Q7-ChiSquareTest'!$E24-'Q7-ChiSquareTest'!$F24)^2/'Q7-ChiSquareTest'!$F24</f>
        <v>0.71014492753623193</v>
      </c>
      <c r="V24">
        <v>23</v>
      </c>
      <c r="W24" s="28">
        <f t="shared" ca="1" si="0"/>
        <v>0.29455778907392716</v>
      </c>
    </row>
    <row r="25" spans="2:23" ht="15.75" thickTop="1" x14ac:dyDescent="0.25">
      <c r="B25" s="30" t="s">
        <v>20</v>
      </c>
      <c r="C25" s="30"/>
      <c r="D25" s="30"/>
      <c r="E25" s="30">
        <f ca="1">SUBTOTAL(9,'Q7-ChiSquareTest'!$E$15:$E$24)</f>
        <v>690</v>
      </c>
      <c r="F25" s="30">
        <f>SUBTOTAL(9, 'Q7-ChiSquareTest'!$F$15:$F$24)</f>
        <v>690</v>
      </c>
      <c r="G25" s="30">
        <f ca="1">SUBTOTAL(9, $G$15:$G$24)</f>
        <v>6.8115942028985508</v>
      </c>
      <c r="V25">
        <v>24</v>
      </c>
      <c r="W25" s="28">
        <f t="shared" ca="1" si="0"/>
        <v>0.57561326346897601</v>
      </c>
    </row>
    <row r="26" spans="2:23" x14ac:dyDescent="0.25">
      <c r="V26">
        <v>25</v>
      </c>
      <c r="W26" s="28">
        <f t="shared" ca="1" si="0"/>
        <v>0.48994770786087249</v>
      </c>
    </row>
    <row r="27" spans="2:23" x14ac:dyDescent="0.25">
      <c r="V27">
        <v>26</v>
      </c>
      <c r="W27" s="28">
        <f t="shared" ca="1" si="0"/>
        <v>0.70237565438074967</v>
      </c>
    </row>
    <row r="28" spans="2:23" x14ac:dyDescent="0.25">
      <c r="B28" t="s">
        <v>81</v>
      </c>
      <c r="V28">
        <v>27</v>
      </c>
      <c r="W28" s="28">
        <f t="shared" ca="1" si="0"/>
        <v>0.15435066015233789</v>
      </c>
    </row>
    <row r="29" spans="2:23" x14ac:dyDescent="0.25">
      <c r="B29" s="35" t="s">
        <v>82</v>
      </c>
      <c r="C29" s="35"/>
      <c r="D29" s="20">
        <f ca="1">G25</f>
        <v>6.8115942028985508</v>
      </c>
      <c r="E29" s="35" t="s">
        <v>85</v>
      </c>
      <c r="F29" s="35"/>
      <c r="V29">
        <v>28</v>
      </c>
      <c r="W29" s="28">
        <f t="shared" ca="1" si="0"/>
        <v>0.76404776152236487</v>
      </c>
    </row>
    <row r="30" spans="2:23" x14ac:dyDescent="0.25">
      <c r="B30" s="35" t="s">
        <v>83</v>
      </c>
      <c r="C30" s="35"/>
      <c r="D30" s="20">
        <f>D11-1</f>
        <v>9</v>
      </c>
      <c r="E30" s="35" t="s">
        <v>84</v>
      </c>
      <c r="F30" s="35"/>
      <c r="V30">
        <v>29</v>
      </c>
      <c r="W30" s="28">
        <f t="shared" ca="1" si="0"/>
        <v>0.52443558278552826</v>
      </c>
    </row>
    <row r="31" spans="2:23" x14ac:dyDescent="0.25">
      <c r="B31" s="35" t="s">
        <v>88</v>
      </c>
      <c r="C31" s="35"/>
      <c r="D31" s="20">
        <v>0.05</v>
      </c>
      <c r="E31" s="35"/>
      <c r="F31" s="35"/>
      <c r="V31">
        <v>30</v>
      </c>
      <c r="W31" s="28">
        <f t="shared" ca="1" si="0"/>
        <v>0.48724213990598642</v>
      </c>
    </row>
    <row r="32" spans="2:23" x14ac:dyDescent="0.25">
      <c r="B32" s="35" t="s">
        <v>89</v>
      </c>
      <c r="C32" s="35"/>
      <c r="D32" s="20">
        <f>CHIINV(D31, D30)</f>
        <v>16.918977604620451</v>
      </c>
      <c r="E32" s="35" t="str">
        <f ca="1">_xlfn.FORMULATEXT(D32)</f>
        <v>=CHIINV(D31, D30)</v>
      </c>
      <c r="F32" s="35"/>
      <c r="V32">
        <v>31</v>
      </c>
      <c r="W32" s="28">
        <f t="shared" ca="1" si="0"/>
        <v>0.45692072340780165</v>
      </c>
    </row>
    <row r="33" spans="2:23" x14ac:dyDescent="0.25">
      <c r="V33">
        <v>32</v>
      </c>
      <c r="W33" s="28">
        <f t="shared" ca="1" si="0"/>
        <v>0.67515063182760759</v>
      </c>
    </row>
    <row r="34" spans="2:23" x14ac:dyDescent="0.25">
      <c r="B34" t="s">
        <v>90</v>
      </c>
      <c r="V34">
        <v>33</v>
      </c>
      <c r="W34" s="28">
        <f t="shared" ca="1" si="0"/>
        <v>0.87275343277650352</v>
      </c>
    </row>
    <row r="35" spans="2:23" x14ac:dyDescent="0.25">
      <c r="B35" s="36" t="str">
        <f ca="1">IF(D29&lt;D32, _xlfn.TEXTJOIN(,FALSE, _xlfn.VALUETOTEXT(B29), " &lt; ", _xlfn.VALUETOTEXT(B32)), _xlfn.TEXTJOIN(,FALSE, _xlfn.VALUETOTEXT(B29), " &gt;= ", _xlfn.VALUETOTEXT(B32)))</f>
        <v>Calculated χ² &lt; Critical Value</v>
      </c>
      <c r="C35" s="36"/>
      <c r="D35" s="36"/>
      <c r="E35" s="36"/>
      <c r="V35">
        <v>34</v>
      </c>
      <c r="W35" s="28">
        <f t="shared" ca="1" si="0"/>
        <v>0.37479083027539994</v>
      </c>
    </row>
    <row r="36" spans="2:23" x14ac:dyDescent="0.25">
      <c r="V36">
        <v>35</v>
      </c>
      <c r="W36" s="28">
        <f t="shared" ca="1" si="0"/>
        <v>0.55848700376588167</v>
      </c>
    </row>
    <row r="37" spans="2:23" x14ac:dyDescent="0.25">
      <c r="V37">
        <v>36</v>
      </c>
      <c r="W37" s="28">
        <f t="shared" ca="1" si="0"/>
        <v>0.56405251583162241</v>
      </c>
    </row>
    <row r="38" spans="2:23" x14ac:dyDescent="0.25">
      <c r="V38">
        <v>37</v>
      </c>
      <c r="W38" s="28">
        <f t="shared" ca="1" si="0"/>
        <v>0.43882862941336109</v>
      </c>
    </row>
    <row r="39" spans="2:23" x14ac:dyDescent="0.25">
      <c r="V39">
        <v>38</v>
      </c>
      <c r="W39" s="28">
        <f t="shared" ca="1" si="0"/>
        <v>0.12608031005592468</v>
      </c>
    </row>
    <row r="40" spans="2:23" x14ac:dyDescent="0.25">
      <c r="V40">
        <v>39</v>
      </c>
      <c r="W40" s="28">
        <f t="shared" ca="1" si="0"/>
        <v>0.97654463077740505</v>
      </c>
    </row>
    <row r="41" spans="2:23" x14ac:dyDescent="0.25">
      <c r="V41">
        <v>40</v>
      </c>
      <c r="W41" s="28">
        <f t="shared" ca="1" si="0"/>
        <v>0.25466975930417424</v>
      </c>
    </row>
    <row r="42" spans="2:23" x14ac:dyDescent="0.25">
      <c r="V42">
        <v>41</v>
      </c>
      <c r="W42" s="28">
        <f t="shared" ca="1" si="0"/>
        <v>0.22887894946044218</v>
      </c>
    </row>
    <row r="43" spans="2:23" x14ac:dyDescent="0.25">
      <c r="V43">
        <v>42</v>
      </c>
      <c r="W43" s="28">
        <f t="shared" ca="1" si="0"/>
        <v>6.7172132307087518E-2</v>
      </c>
    </row>
    <row r="44" spans="2:23" x14ac:dyDescent="0.25">
      <c r="V44">
        <v>43</v>
      </c>
      <c r="W44" s="28">
        <f t="shared" ca="1" si="0"/>
        <v>0.38453325573198771</v>
      </c>
    </row>
    <row r="45" spans="2:23" x14ac:dyDescent="0.25">
      <c r="V45">
        <v>44</v>
      </c>
      <c r="W45" s="28">
        <f t="shared" ca="1" si="0"/>
        <v>0.70016961003881417</v>
      </c>
    </row>
    <row r="46" spans="2:23" x14ac:dyDescent="0.25">
      <c r="V46">
        <v>45</v>
      </c>
      <c r="W46" s="28">
        <f t="shared" ca="1" si="0"/>
        <v>0.55188122704360998</v>
      </c>
    </row>
    <row r="47" spans="2:23" x14ac:dyDescent="0.25">
      <c r="V47">
        <v>46</v>
      </c>
      <c r="W47" s="28">
        <f t="shared" ca="1" si="0"/>
        <v>0.28906854543829663</v>
      </c>
    </row>
    <row r="48" spans="2:23" x14ac:dyDescent="0.25">
      <c r="V48">
        <v>47</v>
      </c>
      <c r="W48" s="28">
        <f t="shared" ca="1" si="0"/>
        <v>0.2202244435912073</v>
      </c>
    </row>
    <row r="49" spans="22:23" x14ac:dyDescent="0.25">
      <c r="V49">
        <v>48</v>
      </c>
      <c r="W49" s="28">
        <f t="shared" ca="1" si="0"/>
        <v>0.27591115520973974</v>
      </c>
    </row>
    <row r="50" spans="22:23" x14ac:dyDescent="0.25">
      <c r="V50">
        <v>49</v>
      </c>
      <c r="W50" s="28">
        <f t="shared" ca="1" si="0"/>
        <v>0.3049025098050272</v>
      </c>
    </row>
    <row r="51" spans="22:23" x14ac:dyDescent="0.25">
      <c r="V51">
        <v>50</v>
      </c>
      <c r="W51" s="28">
        <f t="shared" ca="1" si="0"/>
        <v>0.64422367009587655</v>
      </c>
    </row>
    <row r="52" spans="22:23" x14ac:dyDescent="0.25">
      <c r="V52">
        <v>51</v>
      </c>
      <c r="W52" s="28">
        <f t="shared" ca="1" si="0"/>
        <v>0.79662360187809533</v>
      </c>
    </row>
    <row r="53" spans="22:23" x14ac:dyDescent="0.25">
      <c r="V53">
        <v>52</v>
      </c>
      <c r="W53" s="28">
        <f t="shared" ca="1" si="0"/>
        <v>3.5551802909340458E-2</v>
      </c>
    </row>
    <row r="54" spans="22:23" x14ac:dyDescent="0.25">
      <c r="V54">
        <v>53</v>
      </c>
      <c r="W54" s="28">
        <f t="shared" ca="1" si="0"/>
        <v>0.83377858796669746</v>
      </c>
    </row>
    <row r="55" spans="22:23" x14ac:dyDescent="0.25">
      <c r="V55">
        <v>54</v>
      </c>
      <c r="W55" s="28">
        <f t="shared" ca="1" si="0"/>
        <v>0.29223985106546402</v>
      </c>
    </row>
    <row r="56" spans="22:23" x14ac:dyDescent="0.25">
      <c r="V56">
        <v>55</v>
      </c>
      <c r="W56" s="28">
        <f t="shared" ca="1" si="0"/>
        <v>0.66503800863271245</v>
      </c>
    </row>
    <row r="57" spans="22:23" x14ac:dyDescent="0.25">
      <c r="V57">
        <v>56</v>
      </c>
      <c r="W57" s="28">
        <f t="shared" ca="1" si="0"/>
        <v>0.20455230237949529</v>
      </c>
    </row>
    <row r="58" spans="22:23" x14ac:dyDescent="0.25">
      <c r="V58">
        <v>57</v>
      </c>
      <c r="W58" s="28">
        <f t="shared" ca="1" si="0"/>
        <v>0.84107772447646267</v>
      </c>
    </row>
    <row r="59" spans="22:23" x14ac:dyDescent="0.25">
      <c r="V59">
        <v>58</v>
      </c>
      <c r="W59" s="28">
        <f t="shared" ca="1" si="0"/>
        <v>0.11790186555217463</v>
      </c>
    </row>
    <row r="60" spans="22:23" x14ac:dyDescent="0.25">
      <c r="V60">
        <v>59</v>
      </c>
      <c r="W60" s="28">
        <f t="shared" ca="1" si="0"/>
        <v>0.4524275226644231</v>
      </c>
    </row>
    <row r="61" spans="22:23" x14ac:dyDescent="0.25">
      <c r="V61">
        <v>60</v>
      </c>
      <c r="W61" s="28">
        <f t="shared" ca="1" si="0"/>
        <v>0.74413298241345271</v>
      </c>
    </row>
    <row r="62" spans="22:23" x14ac:dyDescent="0.25">
      <c r="V62">
        <v>61</v>
      </c>
      <c r="W62" s="28">
        <f t="shared" ca="1" si="0"/>
        <v>0.12459761641955236</v>
      </c>
    </row>
    <row r="63" spans="22:23" x14ac:dyDescent="0.25">
      <c r="V63">
        <v>62</v>
      </c>
      <c r="W63" s="28">
        <f t="shared" ca="1" si="0"/>
        <v>0.87091746329696984</v>
      </c>
    </row>
    <row r="64" spans="22:23" x14ac:dyDescent="0.25">
      <c r="V64">
        <v>63</v>
      </c>
      <c r="W64" s="28">
        <f t="shared" ca="1" si="0"/>
        <v>6.754479175106809E-2</v>
      </c>
    </row>
    <row r="65" spans="22:23" x14ac:dyDescent="0.25">
      <c r="V65">
        <v>64</v>
      </c>
      <c r="W65" s="28">
        <f t="shared" ca="1" si="0"/>
        <v>0.44997441030880458</v>
      </c>
    </row>
    <row r="66" spans="22:23" x14ac:dyDescent="0.25">
      <c r="V66">
        <v>65</v>
      </c>
      <c r="W66" s="28">
        <f t="shared" ca="1" si="0"/>
        <v>0.14796619840734704</v>
      </c>
    </row>
    <row r="67" spans="22:23" x14ac:dyDescent="0.25">
      <c r="V67">
        <v>66</v>
      </c>
      <c r="W67" s="28">
        <f t="shared" ref="W67:W130" ca="1" si="3">RAND()</f>
        <v>0.62650979561622133</v>
      </c>
    </row>
    <row r="68" spans="22:23" x14ac:dyDescent="0.25">
      <c r="V68">
        <v>67</v>
      </c>
      <c r="W68" s="28">
        <f t="shared" ca="1" si="3"/>
        <v>0.72693003917676147</v>
      </c>
    </row>
    <row r="69" spans="22:23" x14ac:dyDescent="0.25">
      <c r="V69">
        <v>68</v>
      </c>
      <c r="W69" s="28">
        <f t="shared" ca="1" si="3"/>
        <v>0.26844760197114426</v>
      </c>
    </row>
    <row r="70" spans="22:23" x14ac:dyDescent="0.25">
      <c r="V70">
        <v>69</v>
      </c>
      <c r="W70" s="28">
        <f t="shared" ca="1" si="3"/>
        <v>0.56406169042143761</v>
      </c>
    </row>
    <row r="71" spans="22:23" x14ac:dyDescent="0.25">
      <c r="V71">
        <v>70</v>
      </c>
      <c r="W71" s="28">
        <f t="shared" ca="1" si="3"/>
        <v>0.5812268649100073</v>
      </c>
    </row>
    <row r="72" spans="22:23" x14ac:dyDescent="0.25">
      <c r="V72">
        <v>71</v>
      </c>
      <c r="W72" s="28">
        <f t="shared" ca="1" si="3"/>
        <v>0.66045214661377805</v>
      </c>
    </row>
    <row r="73" spans="22:23" x14ac:dyDescent="0.25">
      <c r="V73">
        <v>72</v>
      </c>
      <c r="W73" s="28">
        <f t="shared" ca="1" si="3"/>
        <v>0.36108982799135103</v>
      </c>
    </row>
    <row r="74" spans="22:23" x14ac:dyDescent="0.25">
      <c r="V74">
        <v>73</v>
      </c>
      <c r="W74" s="28">
        <f t="shared" ca="1" si="3"/>
        <v>0.96780827621059173</v>
      </c>
    </row>
    <row r="75" spans="22:23" x14ac:dyDescent="0.25">
      <c r="V75">
        <v>74</v>
      </c>
      <c r="W75" s="28">
        <f t="shared" ca="1" si="3"/>
        <v>0.16611313155093388</v>
      </c>
    </row>
    <row r="76" spans="22:23" x14ac:dyDescent="0.25">
      <c r="V76">
        <v>75</v>
      </c>
      <c r="W76" s="28">
        <f t="shared" ca="1" si="3"/>
        <v>0.65101321270979129</v>
      </c>
    </row>
    <row r="77" spans="22:23" x14ac:dyDescent="0.25">
      <c r="V77">
        <v>76</v>
      </c>
      <c r="W77" s="28">
        <f t="shared" ca="1" si="3"/>
        <v>0.41974585864809222</v>
      </c>
    </row>
    <row r="78" spans="22:23" x14ac:dyDescent="0.25">
      <c r="V78">
        <v>77</v>
      </c>
      <c r="W78" s="28">
        <f t="shared" ca="1" si="3"/>
        <v>0.69745242501160398</v>
      </c>
    </row>
    <row r="79" spans="22:23" x14ac:dyDescent="0.25">
      <c r="V79">
        <v>78</v>
      </c>
      <c r="W79" s="28">
        <f t="shared" ca="1" si="3"/>
        <v>3.8456742978699276E-2</v>
      </c>
    </row>
    <row r="80" spans="22:23" x14ac:dyDescent="0.25">
      <c r="V80">
        <v>79</v>
      </c>
      <c r="W80" s="28">
        <f t="shared" ca="1" si="3"/>
        <v>0.39089823295530823</v>
      </c>
    </row>
    <row r="81" spans="22:23" x14ac:dyDescent="0.25">
      <c r="V81">
        <v>80</v>
      </c>
      <c r="W81" s="28">
        <f t="shared" ca="1" si="3"/>
        <v>0.91064626086495026</v>
      </c>
    </row>
    <row r="82" spans="22:23" x14ac:dyDescent="0.25">
      <c r="V82">
        <v>81</v>
      </c>
      <c r="W82" s="28">
        <f t="shared" ca="1" si="3"/>
        <v>0.27069384921737794</v>
      </c>
    </row>
    <row r="83" spans="22:23" x14ac:dyDescent="0.25">
      <c r="V83">
        <v>82</v>
      </c>
      <c r="W83" s="28">
        <f t="shared" ca="1" si="3"/>
        <v>0.82217559147569585</v>
      </c>
    </row>
    <row r="84" spans="22:23" x14ac:dyDescent="0.25">
      <c r="V84">
        <v>83</v>
      </c>
      <c r="W84" s="28">
        <f t="shared" ca="1" si="3"/>
        <v>0.28530861509071526</v>
      </c>
    </row>
    <row r="85" spans="22:23" x14ac:dyDescent="0.25">
      <c r="V85">
        <v>84</v>
      </c>
      <c r="W85" s="28">
        <f t="shared" ca="1" si="3"/>
        <v>0.27342962536436632</v>
      </c>
    </row>
    <row r="86" spans="22:23" x14ac:dyDescent="0.25">
      <c r="V86">
        <v>85</v>
      </c>
      <c r="W86" s="28">
        <f t="shared" ca="1" si="3"/>
        <v>0.3612308223943228</v>
      </c>
    </row>
    <row r="87" spans="22:23" x14ac:dyDescent="0.25">
      <c r="V87">
        <v>86</v>
      </c>
      <c r="W87" s="28">
        <f t="shared" ca="1" si="3"/>
        <v>0.71848898823256635</v>
      </c>
    </row>
    <row r="88" spans="22:23" x14ac:dyDescent="0.25">
      <c r="V88">
        <v>87</v>
      </c>
      <c r="W88" s="28">
        <f t="shared" ca="1" si="3"/>
        <v>0.58633001016616615</v>
      </c>
    </row>
    <row r="89" spans="22:23" x14ac:dyDescent="0.25">
      <c r="V89">
        <v>88</v>
      </c>
      <c r="W89" s="28">
        <f t="shared" ca="1" si="3"/>
        <v>0.12923972517138582</v>
      </c>
    </row>
    <row r="90" spans="22:23" x14ac:dyDescent="0.25">
      <c r="V90">
        <v>89</v>
      </c>
      <c r="W90" s="28">
        <f t="shared" ca="1" si="3"/>
        <v>0.79267512635707416</v>
      </c>
    </row>
    <row r="91" spans="22:23" x14ac:dyDescent="0.25">
      <c r="V91">
        <v>90</v>
      </c>
      <c r="W91" s="28">
        <f t="shared" ca="1" si="3"/>
        <v>3.7727760803343835E-2</v>
      </c>
    </row>
    <row r="92" spans="22:23" x14ac:dyDescent="0.25">
      <c r="V92">
        <v>91</v>
      </c>
      <c r="W92" s="28">
        <f t="shared" ca="1" si="3"/>
        <v>0.62164769705559908</v>
      </c>
    </row>
    <row r="93" spans="22:23" x14ac:dyDescent="0.25">
      <c r="V93">
        <v>92</v>
      </c>
      <c r="W93" s="28">
        <f t="shared" ca="1" si="3"/>
        <v>0.53923529849912499</v>
      </c>
    </row>
    <row r="94" spans="22:23" x14ac:dyDescent="0.25">
      <c r="V94">
        <v>93</v>
      </c>
      <c r="W94" s="28">
        <f t="shared" ca="1" si="3"/>
        <v>0.55854603594158303</v>
      </c>
    </row>
    <row r="95" spans="22:23" x14ac:dyDescent="0.25">
      <c r="V95">
        <v>94</v>
      </c>
      <c r="W95" s="28">
        <f t="shared" ca="1" si="3"/>
        <v>0.21856233892302057</v>
      </c>
    </row>
    <row r="96" spans="22:23" x14ac:dyDescent="0.25">
      <c r="V96">
        <v>95</v>
      </c>
      <c r="W96" s="28">
        <f t="shared" ca="1" si="3"/>
        <v>0.90306779905885548</v>
      </c>
    </row>
    <row r="97" spans="22:23" x14ac:dyDescent="0.25">
      <c r="V97">
        <v>96</v>
      </c>
      <c r="W97" s="28">
        <f t="shared" ca="1" si="3"/>
        <v>0.7367834127841163</v>
      </c>
    </row>
    <row r="98" spans="22:23" x14ac:dyDescent="0.25">
      <c r="V98">
        <v>97</v>
      </c>
      <c r="W98" s="28">
        <f t="shared" ca="1" si="3"/>
        <v>0.18870745574443182</v>
      </c>
    </row>
    <row r="99" spans="22:23" x14ac:dyDescent="0.25">
      <c r="V99">
        <v>98</v>
      </c>
      <c r="W99" s="28">
        <f t="shared" ca="1" si="3"/>
        <v>0.38430790703081519</v>
      </c>
    </row>
    <row r="100" spans="22:23" x14ac:dyDescent="0.25">
      <c r="V100">
        <v>99</v>
      </c>
      <c r="W100" s="28">
        <f t="shared" ca="1" si="3"/>
        <v>0.17115979705759155</v>
      </c>
    </row>
    <row r="101" spans="22:23" x14ac:dyDescent="0.25">
      <c r="V101">
        <v>100</v>
      </c>
      <c r="W101" s="28">
        <f t="shared" ca="1" si="3"/>
        <v>0.41221882722050895</v>
      </c>
    </row>
    <row r="102" spans="22:23" x14ac:dyDescent="0.25">
      <c r="V102">
        <v>101</v>
      </c>
      <c r="W102" s="28">
        <f t="shared" ca="1" si="3"/>
        <v>0.28462875961862366</v>
      </c>
    </row>
    <row r="103" spans="22:23" x14ac:dyDescent="0.25">
      <c r="V103">
        <v>102</v>
      </c>
      <c r="W103" s="28">
        <f t="shared" ca="1" si="3"/>
        <v>0.66742504532192826</v>
      </c>
    </row>
    <row r="104" spans="22:23" x14ac:dyDescent="0.25">
      <c r="V104">
        <v>103</v>
      </c>
      <c r="W104" s="28">
        <f t="shared" ca="1" si="3"/>
        <v>0.2309401629814869</v>
      </c>
    </row>
    <row r="105" spans="22:23" x14ac:dyDescent="0.25">
      <c r="V105">
        <v>104</v>
      </c>
      <c r="W105" s="28">
        <f t="shared" ca="1" si="3"/>
        <v>0.74125814471891083</v>
      </c>
    </row>
    <row r="106" spans="22:23" x14ac:dyDescent="0.25">
      <c r="V106">
        <v>105</v>
      </c>
      <c r="W106" s="28">
        <f t="shared" ca="1" si="3"/>
        <v>0.60195401257928804</v>
      </c>
    </row>
    <row r="107" spans="22:23" x14ac:dyDescent="0.25">
      <c r="V107">
        <v>106</v>
      </c>
      <c r="W107" s="28">
        <f t="shared" ca="1" si="3"/>
        <v>1.2828909247146414E-2</v>
      </c>
    </row>
    <row r="108" spans="22:23" x14ac:dyDescent="0.25">
      <c r="V108">
        <v>107</v>
      </c>
      <c r="W108" s="28">
        <f t="shared" ca="1" si="3"/>
        <v>1.6879665975543356E-2</v>
      </c>
    </row>
    <row r="109" spans="22:23" x14ac:dyDescent="0.25">
      <c r="V109">
        <v>108</v>
      </c>
      <c r="W109" s="28">
        <f t="shared" ca="1" si="3"/>
        <v>0.2891647249916357</v>
      </c>
    </row>
    <row r="110" spans="22:23" x14ac:dyDescent="0.25">
      <c r="V110">
        <v>109</v>
      </c>
      <c r="W110" s="28">
        <f t="shared" ca="1" si="3"/>
        <v>0.97058653128603678</v>
      </c>
    </row>
    <row r="111" spans="22:23" x14ac:dyDescent="0.25">
      <c r="V111">
        <v>110</v>
      </c>
      <c r="W111" s="28">
        <f t="shared" ca="1" si="3"/>
        <v>0.74805587996344702</v>
      </c>
    </row>
    <row r="112" spans="22:23" x14ac:dyDescent="0.25">
      <c r="V112">
        <v>111</v>
      </c>
      <c r="W112" s="28">
        <f t="shared" ca="1" si="3"/>
        <v>4.3464542236590908E-2</v>
      </c>
    </row>
    <row r="113" spans="22:23" x14ac:dyDescent="0.25">
      <c r="V113">
        <v>112</v>
      </c>
      <c r="W113" s="28">
        <f t="shared" ca="1" si="3"/>
        <v>0.66208713647692186</v>
      </c>
    </row>
    <row r="114" spans="22:23" x14ac:dyDescent="0.25">
      <c r="V114">
        <v>113</v>
      </c>
      <c r="W114" s="28">
        <f t="shared" ca="1" si="3"/>
        <v>0.59456764674466267</v>
      </c>
    </row>
    <row r="115" spans="22:23" x14ac:dyDescent="0.25">
      <c r="V115">
        <v>114</v>
      </c>
      <c r="W115" s="28">
        <f t="shared" ca="1" si="3"/>
        <v>0.22193764581336695</v>
      </c>
    </row>
    <row r="116" spans="22:23" x14ac:dyDescent="0.25">
      <c r="V116">
        <v>115</v>
      </c>
      <c r="W116" s="28">
        <f t="shared" ca="1" si="3"/>
        <v>0.58216064652761046</v>
      </c>
    </row>
    <row r="117" spans="22:23" x14ac:dyDescent="0.25">
      <c r="V117">
        <v>116</v>
      </c>
      <c r="W117" s="28">
        <f t="shared" ca="1" si="3"/>
        <v>0.53523430100244063</v>
      </c>
    </row>
    <row r="118" spans="22:23" x14ac:dyDescent="0.25">
      <c r="V118">
        <v>117</v>
      </c>
      <c r="W118" s="28">
        <f t="shared" ca="1" si="3"/>
        <v>0.45820258584617546</v>
      </c>
    </row>
    <row r="119" spans="22:23" x14ac:dyDescent="0.25">
      <c r="V119">
        <v>118</v>
      </c>
      <c r="W119" s="28">
        <f t="shared" ca="1" si="3"/>
        <v>0.51928626987818705</v>
      </c>
    </row>
    <row r="120" spans="22:23" x14ac:dyDescent="0.25">
      <c r="V120">
        <v>119</v>
      </c>
      <c r="W120" s="28">
        <f t="shared" ca="1" si="3"/>
        <v>2.6109914379453203E-2</v>
      </c>
    </row>
    <row r="121" spans="22:23" x14ac:dyDescent="0.25">
      <c r="V121">
        <v>120</v>
      </c>
      <c r="W121" s="28">
        <f t="shared" ca="1" si="3"/>
        <v>0.8405185702659268</v>
      </c>
    </row>
    <row r="122" spans="22:23" x14ac:dyDescent="0.25">
      <c r="V122">
        <v>121</v>
      </c>
      <c r="W122" s="28">
        <f t="shared" ca="1" si="3"/>
        <v>0.44245947410863462</v>
      </c>
    </row>
    <row r="123" spans="22:23" x14ac:dyDescent="0.25">
      <c r="V123">
        <v>122</v>
      </c>
      <c r="W123" s="28">
        <f t="shared" ca="1" si="3"/>
        <v>0.14925770369737534</v>
      </c>
    </row>
    <row r="124" spans="22:23" x14ac:dyDescent="0.25">
      <c r="V124">
        <v>123</v>
      </c>
      <c r="W124" s="28">
        <f t="shared" ca="1" si="3"/>
        <v>0.85740958573561543</v>
      </c>
    </row>
    <row r="125" spans="22:23" x14ac:dyDescent="0.25">
      <c r="V125">
        <v>124</v>
      </c>
      <c r="W125" s="28">
        <f t="shared" ca="1" si="3"/>
        <v>0.33905446506495718</v>
      </c>
    </row>
    <row r="126" spans="22:23" x14ac:dyDescent="0.25">
      <c r="V126">
        <v>125</v>
      </c>
      <c r="W126" s="28">
        <f t="shared" ca="1" si="3"/>
        <v>0.34879061833597469</v>
      </c>
    </row>
    <row r="127" spans="22:23" x14ac:dyDescent="0.25">
      <c r="V127">
        <v>126</v>
      </c>
      <c r="W127" s="28">
        <f t="shared" ca="1" si="3"/>
        <v>0.37116647717562556</v>
      </c>
    </row>
    <row r="128" spans="22:23" x14ac:dyDescent="0.25">
      <c r="V128">
        <v>127</v>
      </c>
      <c r="W128" s="28">
        <f t="shared" ca="1" si="3"/>
        <v>0.14791793096584094</v>
      </c>
    </row>
    <row r="129" spans="22:23" x14ac:dyDescent="0.25">
      <c r="V129">
        <v>128</v>
      </c>
      <c r="W129" s="28">
        <f t="shared" ca="1" si="3"/>
        <v>0.20037434047850677</v>
      </c>
    </row>
    <row r="130" spans="22:23" x14ac:dyDescent="0.25">
      <c r="V130">
        <v>129</v>
      </c>
      <c r="W130" s="28">
        <f t="shared" ca="1" si="3"/>
        <v>0.89222435869835703</v>
      </c>
    </row>
    <row r="131" spans="22:23" x14ac:dyDescent="0.25">
      <c r="V131">
        <v>130</v>
      </c>
      <c r="W131" s="28">
        <f t="shared" ref="W131:W194" ca="1" si="4">RAND()</f>
        <v>0.71291110639402822</v>
      </c>
    </row>
    <row r="132" spans="22:23" x14ac:dyDescent="0.25">
      <c r="V132">
        <v>131</v>
      </c>
      <c r="W132" s="28">
        <f t="shared" ca="1" si="4"/>
        <v>0.79398249397650378</v>
      </c>
    </row>
    <row r="133" spans="22:23" x14ac:dyDescent="0.25">
      <c r="V133">
        <v>132</v>
      </c>
      <c r="W133" s="28">
        <f t="shared" ca="1" si="4"/>
        <v>0.83397596151452524</v>
      </c>
    </row>
    <row r="134" spans="22:23" x14ac:dyDescent="0.25">
      <c r="V134">
        <v>133</v>
      </c>
      <c r="W134" s="28">
        <f t="shared" ca="1" si="4"/>
        <v>0.47156190458870817</v>
      </c>
    </row>
    <row r="135" spans="22:23" x14ac:dyDescent="0.25">
      <c r="V135">
        <v>134</v>
      </c>
      <c r="W135" s="28">
        <f t="shared" ca="1" si="4"/>
        <v>0.41782676955418863</v>
      </c>
    </row>
    <row r="136" spans="22:23" x14ac:dyDescent="0.25">
      <c r="V136">
        <v>135</v>
      </c>
      <c r="W136" s="28">
        <f t="shared" ca="1" si="4"/>
        <v>5.2703136430058084E-2</v>
      </c>
    </row>
    <row r="137" spans="22:23" x14ac:dyDescent="0.25">
      <c r="V137">
        <v>136</v>
      </c>
      <c r="W137" s="28">
        <f t="shared" ca="1" si="4"/>
        <v>0.55702777790373703</v>
      </c>
    </row>
    <row r="138" spans="22:23" x14ac:dyDescent="0.25">
      <c r="V138">
        <v>137</v>
      </c>
      <c r="W138" s="28">
        <f t="shared" ca="1" si="4"/>
        <v>0.51629888610185248</v>
      </c>
    </row>
    <row r="139" spans="22:23" x14ac:dyDescent="0.25">
      <c r="V139">
        <v>138</v>
      </c>
      <c r="W139" s="28">
        <f t="shared" ca="1" si="4"/>
        <v>0.6361737251217171</v>
      </c>
    </row>
    <row r="140" spans="22:23" x14ac:dyDescent="0.25">
      <c r="V140">
        <v>139</v>
      </c>
      <c r="W140" s="28">
        <f t="shared" ca="1" si="4"/>
        <v>7.6014174558278857E-2</v>
      </c>
    </row>
    <row r="141" spans="22:23" x14ac:dyDescent="0.25">
      <c r="V141">
        <v>140</v>
      </c>
      <c r="W141" s="28">
        <f t="shared" ca="1" si="4"/>
        <v>0.4674723601410542</v>
      </c>
    </row>
    <row r="142" spans="22:23" x14ac:dyDescent="0.25">
      <c r="V142">
        <v>141</v>
      </c>
      <c r="W142" s="28">
        <f t="shared" ca="1" si="4"/>
        <v>0.92916240666078898</v>
      </c>
    </row>
    <row r="143" spans="22:23" x14ac:dyDescent="0.25">
      <c r="V143">
        <v>142</v>
      </c>
      <c r="W143" s="28">
        <f t="shared" ca="1" si="4"/>
        <v>0.56081618539616962</v>
      </c>
    </row>
    <row r="144" spans="22:23" x14ac:dyDescent="0.25">
      <c r="V144">
        <v>143</v>
      </c>
      <c r="W144" s="28">
        <f t="shared" ca="1" si="4"/>
        <v>0.85168555109468502</v>
      </c>
    </row>
    <row r="145" spans="22:23" x14ac:dyDescent="0.25">
      <c r="V145">
        <v>144</v>
      </c>
      <c r="W145" s="28">
        <f t="shared" ca="1" si="4"/>
        <v>0.68523544037438489</v>
      </c>
    </row>
    <row r="146" spans="22:23" x14ac:dyDescent="0.25">
      <c r="V146">
        <v>145</v>
      </c>
      <c r="W146" s="28">
        <f t="shared" ca="1" si="4"/>
        <v>0.74935913347553018</v>
      </c>
    </row>
    <row r="147" spans="22:23" x14ac:dyDescent="0.25">
      <c r="V147">
        <v>146</v>
      </c>
      <c r="W147" s="28">
        <f t="shared" ca="1" si="4"/>
        <v>0.9857773441371207</v>
      </c>
    </row>
    <row r="148" spans="22:23" x14ac:dyDescent="0.25">
      <c r="V148">
        <v>147</v>
      </c>
      <c r="W148" s="28">
        <f t="shared" ca="1" si="4"/>
        <v>0.31670093990652426</v>
      </c>
    </row>
    <row r="149" spans="22:23" x14ac:dyDescent="0.25">
      <c r="V149">
        <v>148</v>
      </c>
      <c r="W149" s="28">
        <f t="shared" ca="1" si="4"/>
        <v>1.3775780508188396E-3</v>
      </c>
    </row>
    <row r="150" spans="22:23" x14ac:dyDescent="0.25">
      <c r="V150">
        <v>149</v>
      </c>
      <c r="W150" s="28">
        <f t="shared" ca="1" si="4"/>
        <v>6.4043587730251428E-2</v>
      </c>
    </row>
    <row r="151" spans="22:23" x14ac:dyDescent="0.25">
      <c r="V151">
        <v>150</v>
      </c>
      <c r="W151" s="28">
        <f t="shared" ca="1" si="4"/>
        <v>0.26326496260680166</v>
      </c>
    </row>
    <row r="152" spans="22:23" x14ac:dyDescent="0.25">
      <c r="V152">
        <v>151</v>
      </c>
      <c r="W152" s="28">
        <f t="shared" ca="1" si="4"/>
        <v>0.76827552298373503</v>
      </c>
    </row>
    <row r="153" spans="22:23" x14ac:dyDescent="0.25">
      <c r="V153">
        <v>152</v>
      </c>
      <c r="W153" s="28">
        <f t="shared" ca="1" si="4"/>
        <v>0.17094161028489474</v>
      </c>
    </row>
    <row r="154" spans="22:23" x14ac:dyDescent="0.25">
      <c r="V154">
        <v>153</v>
      </c>
      <c r="W154" s="28">
        <f t="shared" ca="1" si="4"/>
        <v>0.47747546874695324</v>
      </c>
    </row>
    <row r="155" spans="22:23" x14ac:dyDescent="0.25">
      <c r="V155">
        <v>154</v>
      </c>
      <c r="W155" s="28">
        <f t="shared" ca="1" si="4"/>
        <v>0.2492808277265941</v>
      </c>
    </row>
    <row r="156" spans="22:23" x14ac:dyDescent="0.25">
      <c r="V156">
        <v>155</v>
      </c>
      <c r="W156" s="28">
        <f t="shared" ca="1" si="4"/>
        <v>0.70222033036368503</v>
      </c>
    </row>
    <row r="157" spans="22:23" x14ac:dyDescent="0.25">
      <c r="V157">
        <v>156</v>
      </c>
      <c r="W157" s="28">
        <f t="shared" ca="1" si="4"/>
        <v>0.39834107144731101</v>
      </c>
    </row>
    <row r="158" spans="22:23" x14ac:dyDescent="0.25">
      <c r="V158">
        <v>157</v>
      </c>
      <c r="W158" s="28">
        <f t="shared" ca="1" si="4"/>
        <v>1.6469549618842727E-2</v>
      </c>
    </row>
    <row r="159" spans="22:23" x14ac:dyDescent="0.25">
      <c r="V159">
        <v>158</v>
      </c>
      <c r="W159" s="28">
        <f t="shared" ca="1" si="4"/>
        <v>0.34103571345970796</v>
      </c>
    </row>
    <row r="160" spans="22:23" x14ac:dyDescent="0.25">
      <c r="V160">
        <v>159</v>
      </c>
      <c r="W160" s="28">
        <f t="shared" ca="1" si="4"/>
        <v>0.93263591106819799</v>
      </c>
    </row>
    <row r="161" spans="22:23" x14ac:dyDescent="0.25">
      <c r="V161">
        <v>160</v>
      </c>
      <c r="W161" s="28">
        <f t="shared" ca="1" si="4"/>
        <v>0.91167364099984805</v>
      </c>
    </row>
    <row r="162" spans="22:23" x14ac:dyDescent="0.25">
      <c r="V162">
        <v>161</v>
      </c>
      <c r="W162" s="28">
        <f t="shared" ca="1" si="4"/>
        <v>0.93919540888284758</v>
      </c>
    </row>
    <row r="163" spans="22:23" x14ac:dyDescent="0.25">
      <c r="V163">
        <v>162</v>
      </c>
      <c r="W163" s="28">
        <f t="shared" ca="1" si="4"/>
        <v>0.13146228701040674</v>
      </c>
    </row>
    <row r="164" spans="22:23" x14ac:dyDescent="0.25">
      <c r="V164">
        <v>163</v>
      </c>
      <c r="W164" s="28">
        <f t="shared" ca="1" si="4"/>
        <v>0.48910605194438839</v>
      </c>
    </row>
    <row r="165" spans="22:23" x14ac:dyDescent="0.25">
      <c r="V165">
        <v>164</v>
      </c>
      <c r="W165" s="28">
        <f t="shared" ca="1" si="4"/>
        <v>0.45607907676258908</v>
      </c>
    </row>
    <row r="166" spans="22:23" x14ac:dyDescent="0.25">
      <c r="V166">
        <v>165</v>
      </c>
      <c r="W166" s="28">
        <f t="shared" ca="1" si="4"/>
        <v>0.47586157603544166</v>
      </c>
    </row>
    <row r="167" spans="22:23" x14ac:dyDescent="0.25">
      <c r="V167">
        <v>166</v>
      </c>
      <c r="W167" s="28">
        <f t="shared" ca="1" si="4"/>
        <v>0.16361332942933426</v>
      </c>
    </row>
    <row r="168" spans="22:23" x14ac:dyDescent="0.25">
      <c r="V168">
        <v>167</v>
      </c>
      <c r="W168" s="28">
        <f t="shared" ca="1" si="4"/>
        <v>0.36898846487956194</v>
      </c>
    </row>
    <row r="169" spans="22:23" x14ac:dyDescent="0.25">
      <c r="V169">
        <v>168</v>
      </c>
      <c r="W169" s="28">
        <f t="shared" ca="1" si="4"/>
        <v>0.94963931637177124</v>
      </c>
    </row>
    <row r="170" spans="22:23" x14ac:dyDescent="0.25">
      <c r="V170">
        <v>169</v>
      </c>
      <c r="W170" s="28">
        <f t="shared" ca="1" si="4"/>
        <v>0.91219501622225296</v>
      </c>
    </row>
    <row r="171" spans="22:23" x14ac:dyDescent="0.25">
      <c r="V171">
        <v>170</v>
      </c>
      <c r="W171" s="28">
        <f t="shared" ca="1" si="4"/>
        <v>0.24709620424043577</v>
      </c>
    </row>
    <row r="172" spans="22:23" x14ac:dyDescent="0.25">
      <c r="V172">
        <v>171</v>
      </c>
      <c r="W172" s="28">
        <f t="shared" ca="1" si="4"/>
        <v>1.1715188279172395E-2</v>
      </c>
    </row>
    <row r="173" spans="22:23" x14ac:dyDescent="0.25">
      <c r="V173">
        <v>172</v>
      </c>
      <c r="W173" s="28">
        <f t="shared" ca="1" si="4"/>
        <v>2.2772914441032244E-2</v>
      </c>
    </row>
    <row r="174" spans="22:23" x14ac:dyDescent="0.25">
      <c r="V174">
        <v>173</v>
      </c>
      <c r="W174" s="28">
        <f t="shared" ca="1" si="4"/>
        <v>3.0367618902322979E-2</v>
      </c>
    </row>
    <row r="175" spans="22:23" x14ac:dyDescent="0.25">
      <c r="V175">
        <v>174</v>
      </c>
      <c r="W175" s="28">
        <f t="shared" ca="1" si="4"/>
        <v>0.16595693127222733</v>
      </c>
    </row>
    <row r="176" spans="22:23" x14ac:dyDescent="0.25">
      <c r="V176">
        <v>175</v>
      </c>
      <c r="W176" s="28">
        <f t="shared" ca="1" si="4"/>
        <v>0.43902555745646454</v>
      </c>
    </row>
    <row r="177" spans="22:23" x14ac:dyDescent="0.25">
      <c r="V177">
        <v>176</v>
      </c>
      <c r="W177" s="28">
        <f t="shared" ca="1" si="4"/>
        <v>0.43323414889434664</v>
      </c>
    </row>
    <row r="178" spans="22:23" x14ac:dyDescent="0.25">
      <c r="V178">
        <v>177</v>
      </c>
      <c r="W178" s="28">
        <f t="shared" ca="1" si="4"/>
        <v>0.24479721337804405</v>
      </c>
    </row>
    <row r="179" spans="22:23" x14ac:dyDescent="0.25">
      <c r="V179">
        <v>178</v>
      </c>
      <c r="W179" s="28">
        <f t="shared" ca="1" si="4"/>
        <v>0.20397243942741172</v>
      </c>
    </row>
    <row r="180" spans="22:23" x14ac:dyDescent="0.25">
      <c r="V180">
        <v>179</v>
      </c>
      <c r="W180" s="28">
        <f t="shared" ca="1" si="4"/>
        <v>0.81408384486586893</v>
      </c>
    </row>
    <row r="181" spans="22:23" x14ac:dyDescent="0.25">
      <c r="V181">
        <v>180</v>
      </c>
      <c r="W181" s="28">
        <f t="shared" ca="1" si="4"/>
        <v>0.84917693156551199</v>
      </c>
    </row>
    <row r="182" spans="22:23" x14ac:dyDescent="0.25">
      <c r="V182">
        <v>181</v>
      </c>
      <c r="W182" s="28">
        <f t="shared" ca="1" si="4"/>
        <v>0.12531137916172008</v>
      </c>
    </row>
    <row r="183" spans="22:23" x14ac:dyDescent="0.25">
      <c r="V183">
        <v>182</v>
      </c>
      <c r="W183" s="28">
        <f t="shared" ca="1" si="4"/>
        <v>0.99566231149968087</v>
      </c>
    </row>
    <row r="184" spans="22:23" x14ac:dyDescent="0.25">
      <c r="V184">
        <v>183</v>
      </c>
      <c r="W184" s="28">
        <f t="shared" ca="1" si="4"/>
        <v>0.21014556262897732</v>
      </c>
    </row>
    <row r="185" spans="22:23" x14ac:dyDescent="0.25">
      <c r="V185">
        <v>184</v>
      </c>
      <c r="W185" s="28">
        <f t="shared" ca="1" si="4"/>
        <v>0.70230162938837282</v>
      </c>
    </row>
    <row r="186" spans="22:23" x14ac:dyDescent="0.25">
      <c r="V186">
        <v>185</v>
      </c>
      <c r="W186" s="28">
        <f t="shared" ca="1" si="4"/>
        <v>0.52533585607290323</v>
      </c>
    </row>
    <row r="187" spans="22:23" x14ac:dyDescent="0.25">
      <c r="V187">
        <v>186</v>
      </c>
      <c r="W187" s="28">
        <f t="shared" ca="1" si="4"/>
        <v>0.86363882562377969</v>
      </c>
    </row>
    <row r="188" spans="22:23" x14ac:dyDescent="0.25">
      <c r="V188">
        <v>187</v>
      </c>
      <c r="W188" s="28">
        <f t="shared" ca="1" si="4"/>
        <v>0.73221489086681324</v>
      </c>
    </row>
    <row r="189" spans="22:23" x14ac:dyDescent="0.25">
      <c r="V189">
        <v>188</v>
      </c>
      <c r="W189" s="28">
        <f t="shared" ca="1" si="4"/>
        <v>0.99284583041358943</v>
      </c>
    </row>
    <row r="190" spans="22:23" x14ac:dyDescent="0.25">
      <c r="V190">
        <v>189</v>
      </c>
      <c r="W190" s="28">
        <f t="shared" ca="1" si="4"/>
        <v>0.41125127145315599</v>
      </c>
    </row>
    <row r="191" spans="22:23" x14ac:dyDescent="0.25">
      <c r="V191">
        <v>190</v>
      </c>
      <c r="W191" s="28">
        <f t="shared" ca="1" si="4"/>
        <v>0.54791489007042093</v>
      </c>
    </row>
    <row r="192" spans="22:23" x14ac:dyDescent="0.25">
      <c r="V192">
        <v>191</v>
      </c>
      <c r="W192" s="28">
        <f t="shared" ca="1" si="4"/>
        <v>0.22556795188030732</v>
      </c>
    </row>
    <row r="193" spans="22:23" x14ac:dyDescent="0.25">
      <c r="V193">
        <v>192</v>
      </c>
      <c r="W193" s="28">
        <f t="shared" ca="1" si="4"/>
        <v>0.8764580909118489</v>
      </c>
    </row>
    <row r="194" spans="22:23" x14ac:dyDescent="0.25">
      <c r="V194">
        <v>193</v>
      </c>
      <c r="W194" s="28">
        <f t="shared" ca="1" si="4"/>
        <v>6.0192583905051777E-2</v>
      </c>
    </row>
    <row r="195" spans="22:23" x14ac:dyDescent="0.25">
      <c r="V195">
        <v>194</v>
      </c>
      <c r="W195" s="28">
        <f t="shared" ref="W195:W258" ca="1" si="5">RAND()</f>
        <v>0.77591574314690204</v>
      </c>
    </row>
    <row r="196" spans="22:23" x14ac:dyDescent="0.25">
      <c r="V196">
        <v>195</v>
      </c>
      <c r="W196" s="28">
        <f t="shared" ca="1" si="5"/>
        <v>0.55613392886445268</v>
      </c>
    </row>
    <row r="197" spans="22:23" x14ac:dyDescent="0.25">
      <c r="V197">
        <v>196</v>
      </c>
      <c r="W197" s="28">
        <f t="shared" ca="1" si="5"/>
        <v>0.88023176372811374</v>
      </c>
    </row>
    <row r="198" spans="22:23" x14ac:dyDescent="0.25">
      <c r="V198">
        <v>197</v>
      </c>
      <c r="W198" s="28">
        <f t="shared" ca="1" si="5"/>
        <v>0.50849346961417574</v>
      </c>
    </row>
    <row r="199" spans="22:23" x14ac:dyDescent="0.25">
      <c r="V199">
        <v>198</v>
      </c>
      <c r="W199" s="28">
        <f t="shared" ca="1" si="5"/>
        <v>0.72317114981903463</v>
      </c>
    </row>
    <row r="200" spans="22:23" x14ac:dyDescent="0.25">
      <c r="V200">
        <v>199</v>
      </c>
      <c r="W200" s="28">
        <f t="shared" ca="1" si="5"/>
        <v>0.82234349346896074</v>
      </c>
    </row>
    <row r="201" spans="22:23" x14ac:dyDescent="0.25">
      <c r="V201">
        <v>200</v>
      </c>
      <c r="W201" s="28">
        <f t="shared" ca="1" si="5"/>
        <v>0.13147543661749028</v>
      </c>
    </row>
    <row r="202" spans="22:23" x14ac:dyDescent="0.25">
      <c r="V202">
        <v>201</v>
      </c>
      <c r="W202" s="28">
        <f t="shared" ca="1" si="5"/>
        <v>0.6600773761476868</v>
      </c>
    </row>
    <row r="203" spans="22:23" x14ac:dyDescent="0.25">
      <c r="V203">
        <v>202</v>
      </c>
      <c r="W203" s="28">
        <f t="shared" ca="1" si="5"/>
        <v>0.15898251769968208</v>
      </c>
    </row>
    <row r="204" spans="22:23" x14ac:dyDescent="0.25">
      <c r="V204">
        <v>203</v>
      </c>
      <c r="W204" s="28">
        <f t="shared" ca="1" si="5"/>
        <v>0.57491373860065109</v>
      </c>
    </row>
    <row r="205" spans="22:23" x14ac:dyDescent="0.25">
      <c r="V205">
        <v>204</v>
      </c>
      <c r="W205" s="28">
        <f t="shared" ca="1" si="5"/>
        <v>0.95406847612985624</v>
      </c>
    </row>
    <row r="206" spans="22:23" x14ac:dyDescent="0.25">
      <c r="V206">
        <v>205</v>
      </c>
      <c r="W206" s="28">
        <f t="shared" ca="1" si="5"/>
        <v>0.94875080553533608</v>
      </c>
    </row>
    <row r="207" spans="22:23" x14ac:dyDescent="0.25">
      <c r="V207">
        <v>206</v>
      </c>
      <c r="W207" s="28">
        <f t="shared" ca="1" si="5"/>
        <v>0.19726009193372196</v>
      </c>
    </row>
    <row r="208" spans="22:23" x14ac:dyDescent="0.25">
      <c r="V208">
        <v>207</v>
      </c>
      <c r="W208" s="28">
        <f t="shared" ca="1" si="5"/>
        <v>0.68474001486727643</v>
      </c>
    </row>
    <row r="209" spans="22:23" x14ac:dyDescent="0.25">
      <c r="V209">
        <v>208</v>
      </c>
      <c r="W209" s="28">
        <f t="shared" ca="1" si="5"/>
        <v>0.83150776096791812</v>
      </c>
    </row>
    <row r="210" spans="22:23" x14ac:dyDescent="0.25">
      <c r="V210">
        <v>209</v>
      </c>
      <c r="W210" s="28">
        <f t="shared" ca="1" si="5"/>
        <v>0.68965675768431745</v>
      </c>
    </row>
    <row r="211" spans="22:23" x14ac:dyDescent="0.25">
      <c r="V211">
        <v>210</v>
      </c>
      <c r="W211" s="28">
        <f t="shared" ca="1" si="5"/>
        <v>0.8685776731760535</v>
      </c>
    </row>
    <row r="212" spans="22:23" x14ac:dyDescent="0.25">
      <c r="V212">
        <v>211</v>
      </c>
      <c r="W212" s="28">
        <f t="shared" ca="1" si="5"/>
        <v>0.52705435246224508</v>
      </c>
    </row>
    <row r="213" spans="22:23" x14ac:dyDescent="0.25">
      <c r="V213">
        <v>212</v>
      </c>
      <c r="W213" s="28">
        <f t="shared" ca="1" si="5"/>
        <v>0.43732449829482323</v>
      </c>
    </row>
    <row r="214" spans="22:23" x14ac:dyDescent="0.25">
      <c r="V214">
        <v>213</v>
      </c>
      <c r="W214" s="28">
        <f t="shared" ca="1" si="5"/>
        <v>0.625693773774878</v>
      </c>
    </row>
    <row r="215" spans="22:23" x14ac:dyDescent="0.25">
      <c r="V215">
        <v>214</v>
      </c>
      <c r="W215" s="28">
        <f t="shared" ca="1" si="5"/>
        <v>0.76891936201937694</v>
      </c>
    </row>
    <row r="216" spans="22:23" x14ac:dyDescent="0.25">
      <c r="V216">
        <v>215</v>
      </c>
      <c r="W216" s="28">
        <f t="shared" ca="1" si="5"/>
        <v>0.8287024233300192</v>
      </c>
    </row>
    <row r="217" spans="22:23" x14ac:dyDescent="0.25">
      <c r="V217">
        <v>216</v>
      </c>
      <c r="W217" s="28">
        <f t="shared" ca="1" si="5"/>
        <v>0.61236541384082377</v>
      </c>
    </row>
    <row r="218" spans="22:23" x14ac:dyDescent="0.25">
      <c r="V218">
        <v>217</v>
      </c>
      <c r="W218" s="28">
        <f t="shared" ca="1" si="5"/>
        <v>0.37003741967640458</v>
      </c>
    </row>
    <row r="219" spans="22:23" x14ac:dyDescent="0.25">
      <c r="V219">
        <v>218</v>
      </c>
      <c r="W219" s="28">
        <f t="shared" ca="1" si="5"/>
        <v>0.8362791921725129</v>
      </c>
    </row>
    <row r="220" spans="22:23" x14ac:dyDescent="0.25">
      <c r="V220">
        <v>219</v>
      </c>
      <c r="W220" s="28">
        <f t="shared" ca="1" si="5"/>
        <v>2.7869241787522259E-2</v>
      </c>
    </row>
    <row r="221" spans="22:23" x14ac:dyDescent="0.25">
      <c r="V221">
        <v>220</v>
      </c>
      <c r="W221" s="28">
        <f t="shared" ca="1" si="5"/>
        <v>0.57528637996266385</v>
      </c>
    </row>
    <row r="222" spans="22:23" x14ac:dyDescent="0.25">
      <c r="V222">
        <v>221</v>
      </c>
      <c r="W222" s="28">
        <f t="shared" ca="1" si="5"/>
        <v>0.31450882032342586</v>
      </c>
    </row>
    <row r="223" spans="22:23" x14ac:dyDescent="0.25">
      <c r="V223">
        <v>222</v>
      </c>
      <c r="W223" s="28">
        <f t="shared" ca="1" si="5"/>
        <v>0.63548280429718229</v>
      </c>
    </row>
    <row r="224" spans="22:23" x14ac:dyDescent="0.25">
      <c r="V224">
        <v>223</v>
      </c>
      <c r="W224" s="28">
        <f t="shared" ca="1" si="5"/>
        <v>0.35616336457863518</v>
      </c>
    </row>
    <row r="225" spans="22:23" x14ac:dyDescent="0.25">
      <c r="V225">
        <v>224</v>
      </c>
      <c r="W225" s="28">
        <f t="shared" ca="1" si="5"/>
        <v>0.62847075795185758</v>
      </c>
    </row>
    <row r="226" spans="22:23" x14ac:dyDescent="0.25">
      <c r="V226">
        <v>225</v>
      </c>
      <c r="W226" s="28">
        <f t="shared" ca="1" si="5"/>
        <v>0.68908131852026555</v>
      </c>
    </row>
    <row r="227" spans="22:23" x14ac:dyDescent="0.25">
      <c r="V227">
        <v>226</v>
      </c>
      <c r="W227" s="28">
        <f t="shared" ca="1" si="5"/>
        <v>0.17001416575237482</v>
      </c>
    </row>
    <row r="228" spans="22:23" x14ac:dyDescent="0.25">
      <c r="V228">
        <v>227</v>
      </c>
      <c r="W228" s="28">
        <f t="shared" ca="1" si="5"/>
        <v>0.30995669113513546</v>
      </c>
    </row>
    <row r="229" spans="22:23" x14ac:dyDescent="0.25">
      <c r="V229">
        <v>228</v>
      </c>
      <c r="W229" s="28">
        <f t="shared" ca="1" si="5"/>
        <v>0.84077332503082625</v>
      </c>
    </row>
    <row r="230" spans="22:23" x14ac:dyDescent="0.25">
      <c r="V230">
        <v>229</v>
      </c>
      <c r="W230" s="28">
        <f t="shared" ca="1" si="5"/>
        <v>6.6052400897444352E-2</v>
      </c>
    </row>
    <row r="231" spans="22:23" x14ac:dyDescent="0.25">
      <c r="V231">
        <v>230</v>
      </c>
      <c r="W231" s="28">
        <f t="shared" ca="1" si="5"/>
        <v>0.32266843150935542</v>
      </c>
    </row>
    <row r="232" spans="22:23" x14ac:dyDescent="0.25">
      <c r="V232">
        <v>231</v>
      </c>
      <c r="W232" s="28">
        <f t="shared" ca="1" si="5"/>
        <v>0.88331419444849779</v>
      </c>
    </row>
    <row r="233" spans="22:23" x14ac:dyDescent="0.25">
      <c r="V233">
        <v>232</v>
      </c>
      <c r="W233" s="28">
        <f t="shared" ca="1" si="5"/>
        <v>0.18444711780342915</v>
      </c>
    </row>
    <row r="234" spans="22:23" x14ac:dyDescent="0.25">
      <c r="V234">
        <v>233</v>
      </c>
      <c r="W234" s="28">
        <f t="shared" ca="1" si="5"/>
        <v>0.72162559276333871</v>
      </c>
    </row>
    <row r="235" spans="22:23" x14ac:dyDescent="0.25">
      <c r="V235">
        <v>234</v>
      </c>
      <c r="W235" s="28">
        <f t="shared" ca="1" si="5"/>
        <v>0.70657280874271489</v>
      </c>
    </row>
    <row r="236" spans="22:23" x14ac:dyDescent="0.25">
      <c r="V236">
        <v>235</v>
      </c>
      <c r="W236" s="28">
        <f t="shared" ca="1" si="5"/>
        <v>0.67046303693792664</v>
      </c>
    </row>
    <row r="237" spans="22:23" x14ac:dyDescent="0.25">
      <c r="V237">
        <v>236</v>
      </c>
      <c r="W237" s="28">
        <f t="shared" ca="1" si="5"/>
        <v>0.32864410802066968</v>
      </c>
    </row>
    <row r="238" spans="22:23" x14ac:dyDescent="0.25">
      <c r="V238">
        <v>237</v>
      </c>
      <c r="W238" s="28">
        <f t="shared" ca="1" si="5"/>
        <v>0.83312589494817801</v>
      </c>
    </row>
    <row r="239" spans="22:23" x14ac:dyDescent="0.25">
      <c r="V239">
        <v>238</v>
      </c>
      <c r="W239" s="28">
        <f t="shared" ca="1" si="5"/>
        <v>5.0340145313807816E-2</v>
      </c>
    </row>
    <row r="240" spans="22:23" x14ac:dyDescent="0.25">
      <c r="V240">
        <v>239</v>
      </c>
      <c r="W240" s="28">
        <f t="shared" ca="1" si="5"/>
        <v>0.96071605391025694</v>
      </c>
    </row>
    <row r="241" spans="22:23" x14ac:dyDescent="0.25">
      <c r="V241">
        <v>240</v>
      </c>
      <c r="W241" s="28">
        <f t="shared" ca="1" si="5"/>
        <v>0.71197871656491163</v>
      </c>
    </row>
    <row r="242" spans="22:23" x14ac:dyDescent="0.25">
      <c r="V242">
        <v>241</v>
      </c>
      <c r="W242" s="28">
        <f t="shared" ca="1" si="5"/>
        <v>0.58762419009329414</v>
      </c>
    </row>
    <row r="243" spans="22:23" x14ac:dyDescent="0.25">
      <c r="V243">
        <v>242</v>
      </c>
      <c r="W243" s="28">
        <f t="shared" ca="1" si="5"/>
        <v>0.42296643648635601</v>
      </c>
    </row>
    <row r="244" spans="22:23" x14ac:dyDescent="0.25">
      <c r="V244">
        <v>243</v>
      </c>
      <c r="W244" s="28">
        <f t="shared" ca="1" si="5"/>
        <v>0.31994966671831115</v>
      </c>
    </row>
    <row r="245" spans="22:23" x14ac:dyDescent="0.25">
      <c r="V245">
        <v>244</v>
      </c>
      <c r="W245" s="28">
        <f t="shared" ca="1" si="5"/>
        <v>0.7641205183541302</v>
      </c>
    </row>
    <row r="246" spans="22:23" x14ac:dyDescent="0.25">
      <c r="V246">
        <v>245</v>
      </c>
      <c r="W246" s="28">
        <f t="shared" ca="1" si="5"/>
        <v>0.71313008323803295</v>
      </c>
    </row>
    <row r="247" spans="22:23" x14ac:dyDescent="0.25">
      <c r="V247">
        <v>246</v>
      </c>
      <c r="W247" s="28">
        <f t="shared" ca="1" si="5"/>
        <v>0.31254223878698073</v>
      </c>
    </row>
    <row r="248" spans="22:23" x14ac:dyDescent="0.25">
      <c r="V248">
        <v>247</v>
      </c>
      <c r="W248" s="28">
        <f t="shared" ca="1" si="5"/>
        <v>6.3394964792805375E-2</v>
      </c>
    </row>
    <row r="249" spans="22:23" x14ac:dyDescent="0.25">
      <c r="V249">
        <v>248</v>
      </c>
      <c r="W249" s="28">
        <f t="shared" ca="1" si="5"/>
        <v>0.76317807524566683</v>
      </c>
    </row>
    <row r="250" spans="22:23" x14ac:dyDescent="0.25">
      <c r="V250">
        <v>249</v>
      </c>
      <c r="W250" s="28">
        <f t="shared" ca="1" si="5"/>
        <v>0.51909478119969665</v>
      </c>
    </row>
    <row r="251" spans="22:23" x14ac:dyDescent="0.25">
      <c r="V251">
        <v>250</v>
      </c>
      <c r="W251" s="28">
        <f t="shared" ca="1" si="5"/>
        <v>0.26260629818050829</v>
      </c>
    </row>
    <row r="252" spans="22:23" x14ac:dyDescent="0.25">
      <c r="V252">
        <v>251</v>
      </c>
      <c r="W252" s="28">
        <f t="shared" ca="1" si="5"/>
        <v>7.538689113460284E-2</v>
      </c>
    </row>
    <row r="253" spans="22:23" x14ac:dyDescent="0.25">
      <c r="V253">
        <v>252</v>
      </c>
      <c r="W253" s="28">
        <f t="shared" ca="1" si="5"/>
        <v>0.66100815806231017</v>
      </c>
    </row>
    <row r="254" spans="22:23" x14ac:dyDescent="0.25">
      <c r="V254">
        <v>253</v>
      </c>
      <c r="W254" s="28">
        <f t="shared" ca="1" si="5"/>
        <v>0.11572242762443974</v>
      </c>
    </row>
    <row r="255" spans="22:23" x14ac:dyDescent="0.25">
      <c r="V255">
        <v>254</v>
      </c>
      <c r="W255" s="28">
        <f t="shared" ca="1" si="5"/>
        <v>0.71978670663987077</v>
      </c>
    </row>
    <row r="256" spans="22:23" x14ac:dyDescent="0.25">
      <c r="V256">
        <v>255</v>
      </c>
      <c r="W256" s="28">
        <f t="shared" ca="1" si="5"/>
        <v>0.45159026194592411</v>
      </c>
    </row>
    <row r="257" spans="22:23" x14ac:dyDescent="0.25">
      <c r="V257">
        <v>256</v>
      </c>
      <c r="W257" s="28">
        <f t="shared" ca="1" si="5"/>
        <v>0.13795946196983833</v>
      </c>
    </row>
    <row r="258" spans="22:23" x14ac:dyDescent="0.25">
      <c r="V258">
        <v>257</v>
      </c>
      <c r="W258" s="28">
        <f t="shared" ca="1" si="5"/>
        <v>6.313360409977542E-2</v>
      </c>
    </row>
    <row r="259" spans="22:23" x14ac:dyDescent="0.25">
      <c r="V259">
        <v>258</v>
      </c>
      <c r="W259" s="28">
        <f t="shared" ref="W259:W322" ca="1" si="6">RAND()</f>
        <v>0.83400383994594718</v>
      </c>
    </row>
    <row r="260" spans="22:23" x14ac:dyDescent="0.25">
      <c r="V260">
        <v>259</v>
      </c>
      <c r="W260" s="28">
        <f t="shared" ca="1" si="6"/>
        <v>0.76213012223527532</v>
      </c>
    </row>
    <row r="261" spans="22:23" x14ac:dyDescent="0.25">
      <c r="V261">
        <v>260</v>
      </c>
      <c r="W261" s="28">
        <f t="shared" ca="1" si="6"/>
        <v>0.95697908592636871</v>
      </c>
    </row>
    <row r="262" spans="22:23" x14ac:dyDescent="0.25">
      <c r="V262">
        <v>261</v>
      </c>
      <c r="W262" s="28">
        <f t="shared" ca="1" si="6"/>
        <v>0.24557969622085962</v>
      </c>
    </row>
    <row r="263" spans="22:23" x14ac:dyDescent="0.25">
      <c r="V263">
        <v>262</v>
      </c>
      <c r="W263" s="28">
        <f t="shared" ca="1" si="6"/>
        <v>0.31963942124971101</v>
      </c>
    </row>
    <row r="264" spans="22:23" x14ac:dyDescent="0.25">
      <c r="V264">
        <v>263</v>
      </c>
      <c r="W264" s="28">
        <f t="shared" ca="1" si="6"/>
        <v>0.42083571947255749</v>
      </c>
    </row>
    <row r="265" spans="22:23" x14ac:dyDescent="0.25">
      <c r="V265">
        <v>264</v>
      </c>
      <c r="W265" s="28">
        <f t="shared" ca="1" si="6"/>
        <v>5.5787384803531626E-2</v>
      </c>
    </row>
    <row r="266" spans="22:23" x14ac:dyDescent="0.25">
      <c r="V266">
        <v>265</v>
      </c>
      <c r="W266" s="28">
        <f t="shared" ca="1" si="6"/>
        <v>0.77347379292545693</v>
      </c>
    </row>
    <row r="267" spans="22:23" x14ac:dyDescent="0.25">
      <c r="V267">
        <v>266</v>
      </c>
      <c r="W267" s="28">
        <f t="shared" ca="1" si="6"/>
        <v>0.55257471929256197</v>
      </c>
    </row>
    <row r="268" spans="22:23" x14ac:dyDescent="0.25">
      <c r="V268">
        <v>267</v>
      </c>
      <c r="W268" s="28">
        <f t="shared" ca="1" si="6"/>
        <v>3.9708065747349641E-2</v>
      </c>
    </row>
    <row r="269" spans="22:23" x14ac:dyDescent="0.25">
      <c r="V269">
        <v>268</v>
      </c>
      <c r="W269" s="28">
        <f t="shared" ca="1" si="6"/>
        <v>0.50326283466623467</v>
      </c>
    </row>
    <row r="270" spans="22:23" x14ac:dyDescent="0.25">
      <c r="V270">
        <v>269</v>
      </c>
      <c r="W270" s="28">
        <f t="shared" ca="1" si="6"/>
        <v>0.2779219673430896</v>
      </c>
    </row>
    <row r="271" spans="22:23" x14ac:dyDescent="0.25">
      <c r="V271">
        <v>270</v>
      </c>
      <c r="W271" s="28">
        <f t="shared" ca="1" si="6"/>
        <v>0.159196509843058</v>
      </c>
    </row>
    <row r="272" spans="22:23" x14ac:dyDescent="0.25">
      <c r="V272">
        <v>271</v>
      </c>
      <c r="W272" s="28">
        <f t="shared" ca="1" si="6"/>
        <v>0.22543408611548976</v>
      </c>
    </row>
    <row r="273" spans="22:23" x14ac:dyDescent="0.25">
      <c r="V273">
        <v>272</v>
      </c>
      <c r="W273" s="28">
        <f t="shared" ca="1" si="6"/>
        <v>0.73478300598324031</v>
      </c>
    </row>
    <row r="274" spans="22:23" x14ac:dyDescent="0.25">
      <c r="V274">
        <v>273</v>
      </c>
      <c r="W274" s="28">
        <f t="shared" ca="1" si="6"/>
        <v>0.81741728809653791</v>
      </c>
    </row>
    <row r="275" spans="22:23" x14ac:dyDescent="0.25">
      <c r="V275">
        <v>274</v>
      </c>
      <c r="W275" s="28">
        <f t="shared" ca="1" si="6"/>
        <v>0.54606102385028643</v>
      </c>
    </row>
    <row r="276" spans="22:23" x14ac:dyDescent="0.25">
      <c r="V276">
        <v>275</v>
      </c>
      <c r="W276" s="28">
        <f t="shared" ca="1" si="6"/>
        <v>0.54714857303218201</v>
      </c>
    </row>
    <row r="277" spans="22:23" x14ac:dyDescent="0.25">
      <c r="V277">
        <v>276</v>
      </c>
      <c r="W277" s="28">
        <f t="shared" ca="1" si="6"/>
        <v>0.35608539293336816</v>
      </c>
    </row>
    <row r="278" spans="22:23" x14ac:dyDescent="0.25">
      <c r="V278">
        <v>277</v>
      </c>
      <c r="W278" s="28">
        <f t="shared" ca="1" si="6"/>
        <v>0.64095660989472014</v>
      </c>
    </row>
    <row r="279" spans="22:23" x14ac:dyDescent="0.25">
      <c r="V279">
        <v>278</v>
      </c>
      <c r="W279" s="28">
        <f t="shared" ca="1" si="6"/>
        <v>0.82619159803089426</v>
      </c>
    </row>
    <row r="280" spans="22:23" x14ac:dyDescent="0.25">
      <c r="V280">
        <v>279</v>
      </c>
      <c r="W280" s="28">
        <f t="shared" ca="1" si="6"/>
        <v>2.2007712284118464E-2</v>
      </c>
    </row>
    <row r="281" spans="22:23" x14ac:dyDescent="0.25">
      <c r="V281">
        <v>280</v>
      </c>
      <c r="W281" s="28">
        <f t="shared" ca="1" si="6"/>
        <v>0.76838720905281233</v>
      </c>
    </row>
    <row r="282" spans="22:23" x14ac:dyDescent="0.25">
      <c r="V282">
        <v>281</v>
      </c>
      <c r="W282" s="28">
        <f t="shared" ca="1" si="6"/>
        <v>0.95464706379448594</v>
      </c>
    </row>
    <row r="283" spans="22:23" x14ac:dyDescent="0.25">
      <c r="V283">
        <v>282</v>
      </c>
      <c r="W283" s="28">
        <f t="shared" ca="1" si="6"/>
        <v>0.69903740221007371</v>
      </c>
    </row>
    <row r="284" spans="22:23" x14ac:dyDescent="0.25">
      <c r="V284">
        <v>283</v>
      </c>
      <c r="W284" s="28">
        <f t="shared" ca="1" si="6"/>
        <v>0.92597278422350504</v>
      </c>
    </row>
    <row r="285" spans="22:23" x14ac:dyDescent="0.25">
      <c r="V285">
        <v>284</v>
      </c>
      <c r="W285" s="28">
        <f t="shared" ca="1" si="6"/>
        <v>0.47464273104760157</v>
      </c>
    </row>
    <row r="286" spans="22:23" x14ac:dyDescent="0.25">
      <c r="V286">
        <v>285</v>
      </c>
      <c r="W286" s="28">
        <f t="shared" ca="1" si="6"/>
        <v>0.57592349417636224</v>
      </c>
    </row>
    <row r="287" spans="22:23" x14ac:dyDescent="0.25">
      <c r="V287">
        <v>286</v>
      </c>
      <c r="W287" s="28">
        <f t="shared" ca="1" si="6"/>
        <v>0.66410011025560534</v>
      </c>
    </row>
    <row r="288" spans="22:23" x14ac:dyDescent="0.25">
      <c r="V288">
        <v>287</v>
      </c>
      <c r="W288" s="28">
        <f t="shared" ca="1" si="6"/>
        <v>0.34045258336150641</v>
      </c>
    </row>
    <row r="289" spans="22:23" x14ac:dyDescent="0.25">
      <c r="V289">
        <v>288</v>
      </c>
      <c r="W289" s="28">
        <f t="shared" ca="1" si="6"/>
        <v>0.11990172679320366</v>
      </c>
    </row>
    <row r="290" spans="22:23" x14ac:dyDescent="0.25">
      <c r="V290">
        <v>289</v>
      </c>
      <c r="W290" s="28">
        <f t="shared" ca="1" si="6"/>
        <v>0.41373137732662657</v>
      </c>
    </row>
    <row r="291" spans="22:23" x14ac:dyDescent="0.25">
      <c r="V291">
        <v>290</v>
      </c>
      <c r="W291" s="28">
        <f t="shared" ca="1" si="6"/>
        <v>0.26662722465879707</v>
      </c>
    </row>
    <row r="292" spans="22:23" x14ac:dyDescent="0.25">
      <c r="V292">
        <v>291</v>
      </c>
      <c r="W292" s="28">
        <f t="shared" ca="1" si="6"/>
        <v>0.56718128617183583</v>
      </c>
    </row>
    <row r="293" spans="22:23" x14ac:dyDescent="0.25">
      <c r="V293">
        <v>292</v>
      </c>
      <c r="W293" s="28">
        <f t="shared" ca="1" si="6"/>
        <v>0.75857540904853304</v>
      </c>
    </row>
    <row r="294" spans="22:23" x14ac:dyDescent="0.25">
      <c r="V294">
        <v>293</v>
      </c>
      <c r="W294" s="28">
        <f t="shared" ca="1" si="6"/>
        <v>0.81489263155008984</v>
      </c>
    </row>
    <row r="295" spans="22:23" x14ac:dyDescent="0.25">
      <c r="V295">
        <v>294</v>
      </c>
      <c r="W295" s="28">
        <f t="shared" ca="1" si="6"/>
        <v>1.4842700156323163E-2</v>
      </c>
    </row>
    <row r="296" spans="22:23" x14ac:dyDescent="0.25">
      <c r="V296">
        <v>295</v>
      </c>
      <c r="W296" s="28">
        <f t="shared" ca="1" si="6"/>
        <v>0.58983594308089815</v>
      </c>
    </row>
    <row r="297" spans="22:23" x14ac:dyDescent="0.25">
      <c r="V297">
        <v>296</v>
      </c>
      <c r="W297" s="28">
        <f t="shared" ca="1" si="6"/>
        <v>0.64583012926645078</v>
      </c>
    </row>
    <row r="298" spans="22:23" x14ac:dyDescent="0.25">
      <c r="V298">
        <v>297</v>
      </c>
      <c r="W298" s="28">
        <f t="shared" ca="1" si="6"/>
        <v>0.64146348208720005</v>
      </c>
    </row>
    <row r="299" spans="22:23" x14ac:dyDescent="0.25">
      <c r="V299">
        <v>298</v>
      </c>
      <c r="W299" s="28">
        <f t="shared" ca="1" si="6"/>
        <v>0.21436737678816409</v>
      </c>
    </row>
    <row r="300" spans="22:23" x14ac:dyDescent="0.25">
      <c r="V300">
        <v>299</v>
      </c>
      <c r="W300" s="28">
        <f t="shared" ca="1" si="6"/>
        <v>0.64359978514522187</v>
      </c>
    </row>
    <row r="301" spans="22:23" x14ac:dyDescent="0.25">
      <c r="V301">
        <v>300</v>
      </c>
      <c r="W301" s="28">
        <f t="shared" ca="1" si="6"/>
        <v>0.60621768106018747</v>
      </c>
    </row>
    <row r="302" spans="22:23" x14ac:dyDescent="0.25">
      <c r="V302">
        <v>301</v>
      </c>
      <c r="W302" s="28">
        <f t="shared" ca="1" si="6"/>
        <v>0.33544946809241905</v>
      </c>
    </row>
    <row r="303" spans="22:23" x14ac:dyDescent="0.25">
      <c r="V303">
        <v>302</v>
      </c>
      <c r="W303" s="28">
        <f t="shared" ca="1" si="6"/>
        <v>0.61148514442240898</v>
      </c>
    </row>
    <row r="304" spans="22:23" x14ac:dyDescent="0.25">
      <c r="V304">
        <v>303</v>
      </c>
      <c r="W304" s="28">
        <f t="shared" ca="1" si="6"/>
        <v>4.7825492234433442E-3</v>
      </c>
    </row>
    <row r="305" spans="22:23" x14ac:dyDescent="0.25">
      <c r="V305">
        <v>304</v>
      </c>
      <c r="W305" s="28">
        <f t="shared" ca="1" si="6"/>
        <v>0.63865859396276103</v>
      </c>
    </row>
    <row r="306" spans="22:23" x14ac:dyDescent="0.25">
      <c r="V306">
        <v>305</v>
      </c>
      <c r="W306" s="28">
        <f t="shared" ca="1" si="6"/>
        <v>0.70895151991919669</v>
      </c>
    </row>
    <row r="307" spans="22:23" x14ac:dyDescent="0.25">
      <c r="V307">
        <v>306</v>
      </c>
      <c r="W307" s="28">
        <f t="shared" ca="1" si="6"/>
        <v>1.0778295385180825E-2</v>
      </c>
    </row>
    <row r="308" spans="22:23" x14ac:dyDescent="0.25">
      <c r="V308">
        <v>307</v>
      </c>
      <c r="W308" s="28">
        <f t="shared" ca="1" si="6"/>
        <v>0.83258311370448734</v>
      </c>
    </row>
    <row r="309" spans="22:23" x14ac:dyDescent="0.25">
      <c r="V309">
        <v>308</v>
      </c>
      <c r="W309" s="28">
        <f t="shared" ca="1" si="6"/>
        <v>0.23739941467556136</v>
      </c>
    </row>
    <row r="310" spans="22:23" x14ac:dyDescent="0.25">
      <c r="V310">
        <v>309</v>
      </c>
      <c r="W310" s="28">
        <f t="shared" ca="1" si="6"/>
        <v>0.47064420446024369</v>
      </c>
    </row>
    <row r="311" spans="22:23" x14ac:dyDescent="0.25">
      <c r="V311">
        <v>310</v>
      </c>
      <c r="W311" s="28">
        <f t="shared" ca="1" si="6"/>
        <v>7.3532089596763717E-2</v>
      </c>
    </row>
    <row r="312" spans="22:23" x14ac:dyDescent="0.25">
      <c r="V312">
        <v>311</v>
      </c>
      <c r="W312" s="28">
        <f t="shared" ca="1" si="6"/>
        <v>0.40482514627890887</v>
      </c>
    </row>
    <row r="313" spans="22:23" x14ac:dyDescent="0.25">
      <c r="V313">
        <v>312</v>
      </c>
      <c r="W313" s="28">
        <f t="shared" ca="1" si="6"/>
        <v>0.69374667142932755</v>
      </c>
    </row>
    <row r="314" spans="22:23" x14ac:dyDescent="0.25">
      <c r="V314">
        <v>313</v>
      </c>
      <c r="W314" s="28">
        <f t="shared" ca="1" si="6"/>
        <v>0.52881438273486281</v>
      </c>
    </row>
    <row r="315" spans="22:23" x14ac:dyDescent="0.25">
      <c r="V315">
        <v>314</v>
      </c>
      <c r="W315" s="28">
        <f t="shared" ca="1" si="6"/>
        <v>0.29287995417564561</v>
      </c>
    </row>
    <row r="316" spans="22:23" x14ac:dyDescent="0.25">
      <c r="V316">
        <v>315</v>
      </c>
      <c r="W316" s="28">
        <f t="shared" ca="1" si="6"/>
        <v>0.22163252179974191</v>
      </c>
    </row>
    <row r="317" spans="22:23" x14ac:dyDescent="0.25">
      <c r="V317">
        <v>316</v>
      </c>
      <c r="W317" s="28">
        <f t="shared" ca="1" si="6"/>
        <v>0.89115680396815045</v>
      </c>
    </row>
    <row r="318" spans="22:23" x14ac:dyDescent="0.25">
      <c r="V318">
        <v>317</v>
      </c>
      <c r="W318" s="28">
        <f t="shared" ca="1" si="6"/>
        <v>0.80106944300710148</v>
      </c>
    </row>
    <row r="319" spans="22:23" x14ac:dyDescent="0.25">
      <c r="V319">
        <v>318</v>
      </c>
      <c r="W319" s="28">
        <f t="shared" ca="1" si="6"/>
        <v>1.9273226692847478E-2</v>
      </c>
    </row>
    <row r="320" spans="22:23" x14ac:dyDescent="0.25">
      <c r="V320">
        <v>319</v>
      </c>
      <c r="W320" s="28">
        <f t="shared" ca="1" si="6"/>
        <v>0.97624082695243397</v>
      </c>
    </row>
    <row r="321" spans="22:23" x14ac:dyDescent="0.25">
      <c r="V321">
        <v>320</v>
      </c>
      <c r="W321" s="28">
        <f t="shared" ca="1" si="6"/>
        <v>8.5286998184807339E-2</v>
      </c>
    </row>
    <row r="322" spans="22:23" x14ac:dyDescent="0.25">
      <c r="V322">
        <v>321</v>
      </c>
      <c r="W322" s="28">
        <f t="shared" ca="1" si="6"/>
        <v>0.45459902350443915</v>
      </c>
    </row>
    <row r="323" spans="22:23" x14ac:dyDescent="0.25">
      <c r="V323">
        <v>322</v>
      </c>
      <c r="W323" s="28">
        <f t="shared" ref="W323:W386" ca="1" si="7">RAND()</f>
        <v>0.33255570240241261</v>
      </c>
    </row>
    <row r="324" spans="22:23" x14ac:dyDescent="0.25">
      <c r="V324">
        <v>323</v>
      </c>
      <c r="W324" s="28">
        <f t="shared" ca="1" si="7"/>
        <v>9.9220809277632882E-2</v>
      </c>
    </row>
    <row r="325" spans="22:23" x14ac:dyDescent="0.25">
      <c r="V325">
        <v>324</v>
      </c>
      <c r="W325" s="28">
        <f t="shared" ca="1" si="7"/>
        <v>0.35100634362011263</v>
      </c>
    </row>
    <row r="326" spans="22:23" x14ac:dyDescent="0.25">
      <c r="V326">
        <v>325</v>
      </c>
      <c r="W326" s="28">
        <f t="shared" ca="1" si="7"/>
        <v>0.65794800945373488</v>
      </c>
    </row>
    <row r="327" spans="22:23" x14ac:dyDescent="0.25">
      <c r="V327">
        <v>326</v>
      </c>
      <c r="W327" s="28">
        <f t="shared" ca="1" si="7"/>
        <v>0.71776221931976625</v>
      </c>
    </row>
    <row r="328" spans="22:23" x14ac:dyDescent="0.25">
      <c r="V328">
        <v>327</v>
      </c>
      <c r="W328" s="28">
        <f t="shared" ca="1" si="7"/>
        <v>0.39373814782438921</v>
      </c>
    </row>
    <row r="329" spans="22:23" x14ac:dyDescent="0.25">
      <c r="V329">
        <v>328</v>
      </c>
      <c r="W329" s="28">
        <f t="shared" ca="1" si="7"/>
        <v>0.3132769632733764</v>
      </c>
    </row>
    <row r="330" spans="22:23" x14ac:dyDescent="0.25">
      <c r="V330">
        <v>329</v>
      </c>
      <c r="W330" s="28">
        <f t="shared" ca="1" si="7"/>
        <v>0.43085763293899337</v>
      </c>
    </row>
    <row r="331" spans="22:23" x14ac:dyDescent="0.25">
      <c r="V331">
        <v>330</v>
      </c>
      <c r="W331" s="28">
        <f t="shared" ca="1" si="7"/>
        <v>0.25415540913097878</v>
      </c>
    </row>
    <row r="332" spans="22:23" x14ac:dyDescent="0.25">
      <c r="V332">
        <v>331</v>
      </c>
      <c r="W332" s="28">
        <f t="shared" ca="1" si="7"/>
        <v>0.58161649938030768</v>
      </c>
    </row>
    <row r="333" spans="22:23" x14ac:dyDescent="0.25">
      <c r="V333">
        <v>332</v>
      </c>
      <c r="W333" s="28">
        <f t="shared" ca="1" si="7"/>
        <v>0.48690922017260363</v>
      </c>
    </row>
    <row r="334" spans="22:23" x14ac:dyDescent="0.25">
      <c r="V334">
        <v>333</v>
      </c>
      <c r="W334" s="28">
        <f t="shared" ca="1" si="7"/>
        <v>0.1255766145547712</v>
      </c>
    </row>
    <row r="335" spans="22:23" x14ac:dyDescent="0.25">
      <c r="V335">
        <v>334</v>
      </c>
      <c r="W335" s="28">
        <f t="shared" ca="1" si="7"/>
        <v>0.91879571724280429</v>
      </c>
    </row>
    <row r="336" spans="22:23" x14ac:dyDescent="0.25">
      <c r="V336">
        <v>335</v>
      </c>
      <c r="W336" s="28">
        <f t="shared" ca="1" si="7"/>
        <v>0.15315695074907421</v>
      </c>
    </row>
    <row r="337" spans="22:23" x14ac:dyDescent="0.25">
      <c r="V337">
        <v>336</v>
      </c>
      <c r="W337" s="28">
        <f t="shared" ca="1" si="7"/>
        <v>0.3025519965866309</v>
      </c>
    </row>
    <row r="338" spans="22:23" x14ac:dyDescent="0.25">
      <c r="V338">
        <v>337</v>
      </c>
      <c r="W338" s="28">
        <f t="shared" ca="1" si="7"/>
        <v>0.79967411942374445</v>
      </c>
    </row>
    <row r="339" spans="22:23" x14ac:dyDescent="0.25">
      <c r="V339">
        <v>338</v>
      </c>
      <c r="W339" s="28">
        <f t="shared" ca="1" si="7"/>
        <v>0.55728779146033502</v>
      </c>
    </row>
    <row r="340" spans="22:23" x14ac:dyDescent="0.25">
      <c r="V340">
        <v>339</v>
      </c>
      <c r="W340" s="28">
        <f t="shared" ca="1" si="7"/>
        <v>0.28026972989981658</v>
      </c>
    </row>
    <row r="341" spans="22:23" x14ac:dyDescent="0.25">
      <c r="V341">
        <v>340</v>
      </c>
      <c r="W341" s="28">
        <f t="shared" ca="1" si="7"/>
        <v>0.2060092148756949</v>
      </c>
    </row>
    <row r="342" spans="22:23" x14ac:dyDescent="0.25">
      <c r="V342">
        <v>341</v>
      </c>
      <c r="W342" s="28">
        <f t="shared" ca="1" si="7"/>
        <v>0.8473175048915359</v>
      </c>
    </row>
    <row r="343" spans="22:23" x14ac:dyDescent="0.25">
      <c r="V343">
        <v>342</v>
      </c>
      <c r="W343" s="28">
        <f t="shared" ca="1" si="7"/>
        <v>0.50756010842437926</v>
      </c>
    </row>
    <row r="344" spans="22:23" x14ac:dyDescent="0.25">
      <c r="V344">
        <v>343</v>
      </c>
      <c r="W344" s="28">
        <f t="shared" ca="1" si="7"/>
        <v>6.6328749458755776E-2</v>
      </c>
    </row>
    <row r="345" spans="22:23" x14ac:dyDescent="0.25">
      <c r="V345">
        <v>344</v>
      </c>
      <c r="W345" s="28">
        <f t="shared" ca="1" si="7"/>
        <v>0.50109630424026297</v>
      </c>
    </row>
    <row r="346" spans="22:23" x14ac:dyDescent="0.25">
      <c r="V346">
        <v>345</v>
      </c>
      <c r="W346" s="28">
        <f t="shared" ca="1" si="7"/>
        <v>0.61682806491990894</v>
      </c>
    </row>
    <row r="347" spans="22:23" x14ac:dyDescent="0.25">
      <c r="V347">
        <v>346</v>
      </c>
      <c r="W347" s="28">
        <f t="shared" ca="1" si="7"/>
        <v>0.10716569525027975</v>
      </c>
    </row>
    <row r="348" spans="22:23" x14ac:dyDescent="0.25">
      <c r="V348">
        <v>347</v>
      </c>
      <c r="W348" s="28">
        <f t="shared" ca="1" si="7"/>
        <v>0.20898990307172771</v>
      </c>
    </row>
    <row r="349" spans="22:23" x14ac:dyDescent="0.25">
      <c r="V349">
        <v>348</v>
      </c>
      <c r="W349" s="28">
        <f t="shared" ca="1" si="7"/>
        <v>0.93800814603308202</v>
      </c>
    </row>
    <row r="350" spans="22:23" x14ac:dyDescent="0.25">
      <c r="V350">
        <v>349</v>
      </c>
      <c r="W350" s="28">
        <f t="shared" ca="1" si="7"/>
        <v>0.26188371342744454</v>
      </c>
    </row>
    <row r="351" spans="22:23" x14ac:dyDescent="0.25">
      <c r="V351">
        <v>350</v>
      </c>
      <c r="W351" s="28">
        <f t="shared" ca="1" si="7"/>
        <v>0.35909013022608549</v>
      </c>
    </row>
    <row r="352" spans="22:23" x14ac:dyDescent="0.25">
      <c r="V352">
        <v>351</v>
      </c>
      <c r="W352" s="28">
        <f t="shared" ca="1" si="7"/>
        <v>0.48329800632063236</v>
      </c>
    </row>
    <row r="353" spans="22:23" x14ac:dyDescent="0.25">
      <c r="V353">
        <v>352</v>
      </c>
      <c r="W353" s="28">
        <f t="shared" ca="1" si="7"/>
        <v>0.95571502335893477</v>
      </c>
    </row>
    <row r="354" spans="22:23" x14ac:dyDescent="0.25">
      <c r="V354">
        <v>353</v>
      </c>
      <c r="W354" s="28">
        <f t="shared" ca="1" si="7"/>
        <v>5.7453280087597758E-2</v>
      </c>
    </row>
    <row r="355" spans="22:23" x14ac:dyDescent="0.25">
      <c r="V355">
        <v>354</v>
      </c>
      <c r="W355" s="28">
        <f t="shared" ca="1" si="7"/>
        <v>0.32815003687043931</v>
      </c>
    </row>
    <row r="356" spans="22:23" x14ac:dyDescent="0.25">
      <c r="V356">
        <v>355</v>
      </c>
      <c r="W356" s="28">
        <f t="shared" ca="1" si="7"/>
        <v>0.12886550288932319</v>
      </c>
    </row>
    <row r="357" spans="22:23" x14ac:dyDescent="0.25">
      <c r="V357">
        <v>356</v>
      </c>
      <c r="W357" s="28">
        <f t="shared" ca="1" si="7"/>
        <v>0.67108368725575751</v>
      </c>
    </row>
    <row r="358" spans="22:23" x14ac:dyDescent="0.25">
      <c r="V358">
        <v>357</v>
      </c>
      <c r="W358" s="28">
        <f t="shared" ca="1" si="7"/>
        <v>0.49188566176817594</v>
      </c>
    </row>
    <row r="359" spans="22:23" x14ac:dyDescent="0.25">
      <c r="V359">
        <v>358</v>
      </c>
      <c r="W359" s="28">
        <f t="shared" ca="1" si="7"/>
        <v>0.76164256505899786</v>
      </c>
    </row>
    <row r="360" spans="22:23" x14ac:dyDescent="0.25">
      <c r="V360">
        <v>359</v>
      </c>
      <c r="W360" s="28">
        <f t="shared" ca="1" si="7"/>
        <v>0.85621055979822358</v>
      </c>
    </row>
    <row r="361" spans="22:23" x14ac:dyDescent="0.25">
      <c r="V361">
        <v>360</v>
      </c>
      <c r="W361" s="28">
        <f t="shared" ca="1" si="7"/>
        <v>0.25421712740156888</v>
      </c>
    </row>
    <row r="362" spans="22:23" x14ac:dyDescent="0.25">
      <c r="V362">
        <v>361</v>
      </c>
      <c r="W362" s="28">
        <f t="shared" ca="1" si="7"/>
        <v>0.92804795070702328</v>
      </c>
    </row>
    <row r="363" spans="22:23" x14ac:dyDescent="0.25">
      <c r="V363">
        <v>362</v>
      </c>
      <c r="W363" s="28">
        <f t="shared" ca="1" si="7"/>
        <v>0.74405924122672695</v>
      </c>
    </row>
    <row r="364" spans="22:23" x14ac:dyDescent="0.25">
      <c r="V364">
        <v>363</v>
      </c>
      <c r="W364" s="28">
        <f t="shared" ca="1" si="7"/>
        <v>0.54416473393490195</v>
      </c>
    </row>
    <row r="365" spans="22:23" x14ac:dyDescent="0.25">
      <c r="V365">
        <v>364</v>
      </c>
      <c r="W365" s="28">
        <f t="shared" ca="1" si="7"/>
        <v>0.11146718241355635</v>
      </c>
    </row>
    <row r="366" spans="22:23" x14ac:dyDescent="0.25">
      <c r="V366">
        <v>365</v>
      </c>
      <c r="W366" s="28">
        <f t="shared" ca="1" si="7"/>
        <v>0.39315330351233657</v>
      </c>
    </row>
    <row r="367" spans="22:23" x14ac:dyDescent="0.25">
      <c r="V367">
        <v>366</v>
      </c>
      <c r="W367" s="28">
        <f t="shared" ca="1" si="7"/>
        <v>0.83978698318324108</v>
      </c>
    </row>
    <row r="368" spans="22:23" x14ac:dyDescent="0.25">
      <c r="V368">
        <v>367</v>
      </c>
      <c r="W368" s="28">
        <f t="shared" ca="1" si="7"/>
        <v>0.57280536029068607</v>
      </c>
    </row>
    <row r="369" spans="22:23" x14ac:dyDescent="0.25">
      <c r="V369">
        <v>368</v>
      </c>
      <c r="W369" s="28">
        <f t="shared" ca="1" si="7"/>
        <v>8.0995313981026218E-2</v>
      </c>
    </row>
    <row r="370" spans="22:23" x14ac:dyDescent="0.25">
      <c r="V370">
        <v>369</v>
      </c>
      <c r="W370" s="28">
        <f t="shared" ca="1" si="7"/>
        <v>0.29170567729807095</v>
      </c>
    </row>
    <row r="371" spans="22:23" x14ac:dyDescent="0.25">
      <c r="V371">
        <v>370</v>
      </c>
      <c r="W371" s="28">
        <f t="shared" ca="1" si="7"/>
        <v>0.31922307433960728</v>
      </c>
    </row>
    <row r="372" spans="22:23" x14ac:dyDescent="0.25">
      <c r="V372">
        <v>371</v>
      </c>
      <c r="W372" s="28">
        <f t="shared" ca="1" si="7"/>
        <v>0.24059671165423691</v>
      </c>
    </row>
    <row r="373" spans="22:23" x14ac:dyDescent="0.25">
      <c r="V373">
        <v>372</v>
      </c>
      <c r="W373" s="28">
        <f t="shared" ca="1" si="7"/>
        <v>0.77976572988865811</v>
      </c>
    </row>
    <row r="374" spans="22:23" x14ac:dyDescent="0.25">
      <c r="V374">
        <v>373</v>
      </c>
      <c r="W374" s="28">
        <f t="shared" ca="1" si="7"/>
        <v>0.17109975035607095</v>
      </c>
    </row>
    <row r="375" spans="22:23" x14ac:dyDescent="0.25">
      <c r="V375">
        <v>374</v>
      </c>
      <c r="W375" s="28">
        <f t="shared" ca="1" si="7"/>
        <v>0.49652492064905163</v>
      </c>
    </row>
    <row r="376" spans="22:23" x14ac:dyDescent="0.25">
      <c r="V376">
        <v>375</v>
      </c>
      <c r="W376" s="28">
        <f t="shared" ca="1" si="7"/>
        <v>0.2684955910779282</v>
      </c>
    </row>
    <row r="377" spans="22:23" x14ac:dyDescent="0.25">
      <c r="V377">
        <v>376</v>
      </c>
      <c r="W377" s="28">
        <f t="shared" ca="1" si="7"/>
        <v>0.54816800758105266</v>
      </c>
    </row>
    <row r="378" spans="22:23" x14ac:dyDescent="0.25">
      <c r="V378">
        <v>377</v>
      </c>
      <c r="W378" s="28">
        <f t="shared" ca="1" si="7"/>
        <v>0.87500264785628956</v>
      </c>
    </row>
    <row r="379" spans="22:23" x14ac:dyDescent="0.25">
      <c r="V379">
        <v>378</v>
      </c>
      <c r="W379" s="28">
        <f t="shared" ca="1" si="7"/>
        <v>0.63383544833526595</v>
      </c>
    </row>
    <row r="380" spans="22:23" x14ac:dyDescent="0.25">
      <c r="V380">
        <v>379</v>
      </c>
      <c r="W380" s="28">
        <f t="shared" ca="1" si="7"/>
        <v>0.50182176960764668</v>
      </c>
    </row>
    <row r="381" spans="22:23" x14ac:dyDescent="0.25">
      <c r="V381">
        <v>380</v>
      </c>
      <c r="W381" s="28">
        <f t="shared" ca="1" si="7"/>
        <v>0.51548966307922206</v>
      </c>
    </row>
    <row r="382" spans="22:23" x14ac:dyDescent="0.25">
      <c r="V382">
        <v>381</v>
      </c>
      <c r="W382" s="28">
        <f t="shared" ca="1" si="7"/>
        <v>0.78865061517965596</v>
      </c>
    </row>
    <row r="383" spans="22:23" x14ac:dyDescent="0.25">
      <c r="V383">
        <v>382</v>
      </c>
      <c r="W383" s="28">
        <f t="shared" ca="1" si="7"/>
        <v>0.68762808161409628</v>
      </c>
    </row>
    <row r="384" spans="22:23" x14ac:dyDescent="0.25">
      <c r="V384">
        <v>383</v>
      </c>
      <c r="W384" s="28">
        <f t="shared" ca="1" si="7"/>
        <v>0.83135328778643869</v>
      </c>
    </row>
    <row r="385" spans="22:23" x14ac:dyDescent="0.25">
      <c r="V385">
        <v>384</v>
      </c>
      <c r="W385" s="28">
        <f t="shared" ca="1" si="7"/>
        <v>0.5030645558813116</v>
      </c>
    </row>
    <row r="386" spans="22:23" x14ac:dyDescent="0.25">
      <c r="V386">
        <v>385</v>
      </c>
      <c r="W386" s="28">
        <f t="shared" ca="1" si="7"/>
        <v>0.85324853313801541</v>
      </c>
    </row>
    <row r="387" spans="22:23" x14ac:dyDescent="0.25">
      <c r="V387">
        <v>386</v>
      </c>
      <c r="W387" s="28">
        <f t="shared" ref="W387:W450" ca="1" si="8">RAND()</f>
        <v>0.30718344574188805</v>
      </c>
    </row>
    <row r="388" spans="22:23" x14ac:dyDescent="0.25">
      <c r="V388">
        <v>387</v>
      </c>
      <c r="W388" s="28">
        <f t="shared" ca="1" si="8"/>
        <v>5.6479448661836074E-2</v>
      </c>
    </row>
    <row r="389" spans="22:23" x14ac:dyDescent="0.25">
      <c r="V389">
        <v>388</v>
      </c>
      <c r="W389" s="28">
        <f t="shared" ca="1" si="8"/>
        <v>0.72968152401641773</v>
      </c>
    </row>
    <row r="390" spans="22:23" x14ac:dyDescent="0.25">
      <c r="V390">
        <v>389</v>
      </c>
      <c r="W390" s="28">
        <f t="shared" ca="1" si="8"/>
        <v>0.21021738531900291</v>
      </c>
    </row>
    <row r="391" spans="22:23" x14ac:dyDescent="0.25">
      <c r="V391">
        <v>390</v>
      </c>
      <c r="W391" s="28">
        <f t="shared" ca="1" si="8"/>
        <v>0.8572418456649159</v>
      </c>
    </row>
    <row r="392" spans="22:23" x14ac:dyDescent="0.25">
      <c r="V392">
        <v>391</v>
      </c>
      <c r="W392" s="28">
        <f t="shared" ca="1" si="8"/>
        <v>0.14809798280805797</v>
      </c>
    </row>
    <row r="393" spans="22:23" x14ac:dyDescent="0.25">
      <c r="V393">
        <v>392</v>
      </c>
      <c r="W393" s="28">
        <f t="shared" ca="1" si="8"/>
        <v>2.7756132390506005E-2</v>
      </c>
    </row>
    <row r="394" spans="22:23" x14ac:dyDescent="0.25">
      <c r="V394">
        <v>393</v>
      </c>
      <c r="W394" s="28">
        <f t="shared" ca="1" si="8"/>
        <v>0.85657460824162912</v>
      </c>
    </row>
    <row r="395" spans="22:23" x14ac:dyDescent="0.25">
      <c r="V395">
        <v>394</v>
      </c>
      <c r="W395" s="28">
        <f t="shared" ca="1" si="8"/>
        <v>0.74351457964852419</v>
      </c>
    </row>
    <row r="396" spans="22:23" x14ac:dyDescent="0.25">
      <c r="V396">
        <v>395</v>
      </c>
      <c r="W396" s="28">
        <f t="shared" ca="1" si="8"/>
        <v>0.59713364827040094</v>
      </c>
    </row>
    <row r="397" spans="22:23" x14ac:dyDescent="0.25">
      <c r="V397">
        <v>396</v>
      </c>
      <c r="W397" s="28">
        <f t="shared" ca="1" si="8"/>
        <v>0.78971473561994043</v>
      </c>
    </row>
    <row r="398" spans="22:23" x14ac:dyDescent="0.25">
      <c r="V398">
        <v>397</v>
      </c>
      <c r="W398" s="28">
        <f t="shared" ca="1" si="8"/>
        <v>0.90658612504844238</v>
      </c>
    </row>
    <row r="399" spans="22:23" x14ac:dyDescent="0.25">
      <c r="V399">
        <v>398</v>
      </c>
      <c r="W399" s="28">
        <f t="shared" ca="1" si="8"/>
        <v>0.87963118315011135</v>
      </c>
    </row>
    <row r="400" spans="22:23" x14ac:dyDescent="0.25">
      <c r="V400">
        <v>399</v>
      </c>
      <c r="W400" s="28">
        <f t="shared" ca="1" si="8"/>
        <v>0.30648773763402626</v>
      </c>
    </row>
    <row r="401" spans="22:23" x14ac:dyDescent="0.25">
      <c r="V401">
        <v>400</v>
      </c>
      <c r="W401" s="28">
        <f t="shared" ca="1" si="8"/>
        <v>0.58353740341900184</v>
      </c>
    </row>
    <row r="402" spans="22:23" x14ac:dyDescent="0.25">
      <c r="V402">
        <v>401</v>
      </c>
      <c r="W402" s="28">
        <f t="shared" ca="1" si="8"/>
        <v>0.3972725189042503</v>
      </c>
    </row>
    <row r="403" spans="22:23" x14ac:dyDescent="0.25">
      <c r="V403">
        <v>402</v>
      </c>
      <c r="W403" s="28">
        <f t="shared" ca="1" si="8"/>
        <v>0.26186179901979367</v>
      </c>
    </row>
    <row r="404" spans="22:23" x14ac:dyDescent="0.25">
      <c r="V404">
        <v>403</v>
      </c>
      <c r="W404" s="28">
        <f t="shared" ca="1" si="8"/>
        <v>0.28292331399507697</v>
      </c>
    </row>
    <row r="405" spans="22:23" x14ac:dyDescent="0.25">
      <c r="V405">
        <v>404</v>
      </c>
      <c r="W405" s="28">
        <f t="shared" ca="1" si="8"/>
        <v>8.7616750232461182E-2</v>
      </c>
    </row>
    <row r="406" spans="22:23" x14ac:dyDescent="0.25">
      <c r="V406">
        <v>405</v>
      </c>
      <c r="W406" s="28">
        <f t="shared" ca="1" si="8"/>
        <v>7.8514126994858602E-2</v>
      </c>
    </row>
    <row r="407" spans="22:23" x14ac:dyDescent="0.25">
      <c r="V407">
        <v>406</v>
      </c>
      <c r="W407" s="28">
        <f t="shared" ca="1" si="8"/>
        <v>0.93396402885773133</v>
      </c>
    </row>
    <row r="408" spans="22:23" x14ac:dyDescent="0.25">
      <c r="V408">
        <v>407</v>
      </c>
      <c r="W408" s="28">
        <f t="shared" ca="1" si="8"/>
        <v>0.78961853664744053</v>
      </c>
    </row>
    <row r="409" spans="22:23" x14ac:dyDescent="0.25">
      <c r="V409">
        <v>408</v>
      </c>
      <c r="W409" s="28">
        <f t="shared" ca="1" si="8"/>
        <v>0.55671545804610612</v>
      </c>
    </row>
    <row r="410" spans="22:23" x14ac:dyDescent="0.25">
      <c r="V410">
        <v>409</v>
      </c>
      <c r="W410" s="28">
        <f t="shared" ca="1" si="8"/>
        <v>8.3041632620314054E-2</v>
      </c>
    </row>
    <row r="411" spans="22:23" x14ac:dyDescent="0.25">
      <c r="V411">
        <v>410</v>
      </c>
      <c r="W411" s="28">
        <f t="shared" ca="1" si="8"/>
        <v>0.96324621945595534</v>
      </c>
    </row>
    <row r="412" spans="22:23" x14ac:dyDescent="0.25">
      <c r="V412">
        <v>411</v>
      </c>
      <c r="W412" s="28">
        <f t="shared" ca="1" si="8"/>
        <v>0.49690528051925287</v>
      </c>
    </row>
    <row r="413" spans="22:23" x14ac:dyDescent="0.25">
      <c r="V413">
        <v>412</v>
      </c>
      <c r="W413" s="28">
        <f t="shared" ca="1" si="8"/>
        <v>0.74988347457578663</v>
      </c>
    </row>
    <row r="414" spans="22:23" x14ac:dyDescent="0.25">
      <c r="V414">
        <v>413</v>
      </c>
      <c r="W414" s="28">
        <f t="shared" ca="1" si="8"/>
        <v>0.2917621862067431</v>
      </c>
    </row>
    <row r="415" spans="22:23" x14ac:dyDescent="0.25">
      <c r="V415">
        <v>414</v>
      </c>
      <c r="W415" s="28">
        <f t="shared" ca="1" si="8"/>
        <v>0.84372763124981487</v>
      </c>
    </row>
    <row r="416" spans="22:23" x14ac:dyDescent="0.25">
      <c r="V416">
        <v>415</v>
      </c>
      <c r="W416" s="28">
        <f t="shared" ca="1" si="8"/>
        <v>0.65706636168517596</v>
      </c>
    </row>
    <row r="417" spans="22:23" x14ac:dyDescent="0.25">
      <c r="V417">
        <v>416</v>
      </c>
      <c r="W417" s="28">
        <f t="shared" ca="1" si="8"/>
        <v>0.75451061192535906</v>
      </c>
    </row>
    <row r="418" spans="22:23" x14ac:dyDescent="0.25">
      <c r="V418">
        <v>417</v>
      </c>
      <c r="W418" s="28">
        <f t="shared" ca="1" si="8"/>
        <v>6.4410526530997325E-2</v>
      </c>
    </row>
    <row r="419" spans="22:23" x14ac:dyDescent="0.25">
      <c r="V419">
        <v>418</v>
      </c>
      <c r="W419" s="28">
        <f t="shared" ca="1" si="8"/>
        <v>0.80625842780329615</v>
      </c>
    </row>
    <row r="420" spans="22:23" x14ac:dyDescent="0.25">
      <c r="V420">
        <v>419</v>
      </c>
      <c r="W420" s="28">
        <f t="shared" ca="1" si="8"/>
        <v>0.10426266869857015</v>
      </c>
    </row>
    <row r="421" spans="22:23" x14ac:dyDescent="0.25">
      <c r="V421">
        <v>420</v>
      </c>
      <c r="W421" s="28">
        <f t="shared" ca="1" si="8"/>
        <v>0.23280181490496188</v>
      </c>
    </row>
    <row r="422" spans="22:23" x14ac:dyDescent="0.25">
      <c r="V422">
        <v>421</v>
      </c>
      <c r="W422" s="28">
        <f t="shared" ca="1" si="8"/>
        <v>0.84533121175157955</v>
      </c>
    </row>
    <row r="423" spans="22:23" x14ac:dyDescent="0.25">
      <c r="V423">
        <v>422</v>
      </c>
      <c r="W423" s="28">
        <f t="shared" ca="1" si="8"/>
        <v>6.4623752184978067E-2</v>
      </c>
    </row>
    <row r="424" spans="22:23" x14ac:dyDescent="0.25">
      <c r="V424">
        <v>423</v>
      </c>
      <c r="W424" s="28">
        <f t="shared" ca="1" si="8"/>
        <v>0.15262033700849731</v>
      </c>
    </row>
    <row r="425" spans="22:23" x14ac:dyDescent="0.25">
      <c r="V425">
        <v>424</v>
      </c>
      <c r="W425" s="28">
        <f t="shared" ca="1" si="8"/>
        <v>0.34517033584632006</v>
      </c>
    </row>
    <row r="426" spans="22:23" x14ac:dyDescent="0.25">
      <c r="V426">
        <v>425</v>
      </c>
      <c r="W426" s="28">
        <f t="shared" ca="1" si="8"/>
        <v>5.216058147780045E-2</v>
      </c>
    </row>
    <row r="427" spans="22:23" x14ac:dyDescent="0.25">
      <c r="V427">
        <v>426</v>
      </c>
      <c r="W427" s="28">
        <f t="shared" ca="1" si="8"/>
        <v>0.54562786094502014</v>
      </c>
    </row>
    <row r="428" spans="22:23" x14ac:dyDescent="0.25">
      <c r="V428">
        <v>427</v>
      </c>
      <c r="W428" s="28">
        <f t="shared" ca="1" si="8"/>
        <v>0.77822951549186814</v>
      </c>
    </row>
    <row r="429" spans="22:23" x14ac:dyDescent="0.25">
      <c r="V429">
        <v>428</v>
      </c>
      <c r="W429" s="28">
        <f t="shared" ca="1" si="8"/>
        <v>0.30770870862735611</v>
      </c>
    </row>
    <row r="430" spans="22:23" x14ac:dyDescent="0.25">
      <c r="V430">
        <v>429</v>
      </c>
      <c r="W430" s="28">
        <f t="shared" ca="1" si="8"/>
        <v>0.33893268385755471</v>
      </c>
    </row>
    <row r="431" spans="22:23" x14ac:dyDescent="0.25">
      <c r="V431">
        <v>430</v>
      </c>
      <c r="W431" s="28">
        <f t="shared" ca="1" si="8"/>
        <v>1.6894678067736035E-2</v>
      </c>
    </row>
    <row r="432" spans="22:23" x14ac:dyDescent="0.25">
      <c r="V432">
        <v>431</v>
      </c>
      <c r="W432" s="28">
        <f t="shared" ca="1" si="8"/>
        <v>4.2045397710302468E-2</v>
      </c>
    </row>
    <row r="433" spans="22:23" x14ac:dyDescent="0.25">
      <c r="V433">
        <v>432</v>
      </c>
      <c r="W433" s="28">
        <f t="shared" ca="1" si="8"/>
        <v>0.76556536152911303</v>
      </c>
    </row>
    <row r="434" spans="22:23" x14ac:dyDescent="0.25">
      <c r="V434">
        <v>433</v>
      </c>
      <c r="W434" s="28">
        <f t="shared" ca="1" si="8"/>
        <v>0.82150993942710815</v>
      </c>
    </row>
    <row r="435" spans="22:23" x14ac:dyDescent="0.25">
      <c r="V435">
        <v>434</v>
      </c>
      <c r="W435" s="28">
        <f t="shared" ca="1" si="8"/>
        <v>0.70041582982814077</v>
      </c>
    </row>
    <row r="436" spans="22:23" x14ac:dyDescent="0.25">
      <c r="V436">
        <v>435</v>
      </c>
      <c r="W436" s="28">
        <f t="shared" ca="1" si="8"/>
        <v>0.70565220477728674</v>
      </c>
    </row>
    <row r="437" spans="22:23" x14ac:dyDescent="0.25">
      <c r="V437">
        <v>436</v>
      </c>
      <c r="W437" s="28">
        <f t="shared" ca="1" si="8"/>
        <v>0.22723824670038295</v>
      </c>
    </row>
    <row r="438" spans="22:23" x14ac:dyDescent="0.25">
      <c r="V438">
        <v>437</v>
      </c>
      <c r="W438" s="28">
        <f t="shared" ca="1" si="8"/>
        <v>0.6623733759594066</v>
      </c>
    </row>
    <row r="439" spans="22:23" x14ac:dyDescent="0.25">
      <c r="V439">
        <v>438</v>
      </c>
      <c r="W439" s="28">
        <f t="shared" ca="1" si="8"/>
        <v>0.77089211210871866</v>
      </c>
    </row>
    <row r="440" spans="22:23" x14ac:dyDescent="0.25">
      <c r="V440">
        <v>439</v>
      </c>
      <c r="W440" s="28">
        <f t="shared" ca="1" si="8"/>
        <v>0.83402332559289949</v>
      </c>
    </row>
    <row r="441" spans="22:23" x14ac:dyDescent="0.25">
      <c r="V441">
        <v>440</v>
      </c>
      <c r="W441" s="28">
        <f t="shared" ca="1" si="8"/>
        <v>0.76013151754702157</v>
      </c>
    </row>
    <row r="442" spans="22:23" x14ac:dyDescent="0.25">
      <c r="V442">
        <v>441</v>
      </c>
      <c r="W442" s="28">
        <f t="shared" ca="1" si="8"/>
        <v>0.9512122481043892</v>
      </c>
    </row>
    <row r="443" spans="22:23" x14ac:dyDescent="0.25">
      <c r="V443">
        <v>442</v>
      </c>
      <c r="W443" s="28">
        <f t="shared" ca="1" si="8"/>
        <v>0.96393638583876418</v>
      </c>
    </row>
    <row r="444" spans="22:23" x14ac:dyDescent="0.25">
      <c r="V444">
        <v>443</v>
      </c>
      <c r="W444" s="28">
        <f t="shared" ca="1" si="8"/>
        <v>0.85160044736105578</v>
      </c>
    </row>
    <row r="445" spans="22:23" x14ac:dyDescent="0.25">
      <c r="V445">
        <v>444</v>
      </c>
      <c r="W445" s="28">
        <f t="shared" ca="1" si="8"/>
        <v>0.65480747347353774</v>
      </c>
    </row>
    <row r="446" spans="22:23" x14ac:dyDescent="0.25">
      <c r="V446">
        <v>445</v>
      </c>
      <c r="W446" s="28">
        <f t="shared" ca="1" si="8"/>
        <v>8.8489783856376181E-2</v>
      </c>
    </row>
    <row r="447" spans="22:23" x14ac:dyDescent="0.25">
      <c r="V447">
        <v>446</v>
      </c>
      <c r="W447" s="28">
        <f t="shared" ca="1" si="8"/>
        <v>0.58149807013684041</v>
      </c>
    </row>
    <row r="448" spans="22:23" x14ac:dyDescent="0.25">
      <c r="V448">
        <v>447</v>
      </c>
      <c r="W448" s="28">
        <f t="shared" ca="1" si="8"/>
        <v>0.68764166174232122</v>
      </c>
    </row>
    <row r="449" spans="22:23" x14ac:dyDescent="0.25">
      <c r="V449">
        <v>448</v>
      </c>
      <c r="W449" s="28">
        <f t="shared" ca="1" si="8"/>
        <v>0.4386332994829184</v>
      </c>
    </row>
    <row r="450" spans="22:23" x14ac:dyDescent="0.25">
      <c r="V450">
        <v>449</v>
      </c>
      <c r="W450" s="28">
        <f t="shared" ca="1" si="8"/>
        <v>0.25353547938965004</v>
      </c>
    </row>
    <row r="451" spans="22:23" x14ac:dyDescent="0.25">
      <c r="V451">
        <v>450</v>
      </c>
      <c r="W451" s="28">
        <f t="shared" ref="W451:W514" ca="1" si="9">RAND()</f>
        <v>0.76790782496113019</v>
      </c>
    </row>
    <row r="452" spans="22:23" x14ac:dyDescent="0.25">
      <c r="V452">
        <v>451</v>
      </c>
      <c r="W452" s="28">
        <f t="shared" ca="1" si="9"/>
        <v>0.65986338949536005</v>
      </c>
    </row>
    <row r="453" spans="22:23" x14ac:dyDescent="0.25">
      <c r="V453">
        <v>452</v>
      </c>
      <c r="W453" s="28">
        <f t="shared" ca="1" si="9"/>
        <v>0.3951487754917471</v>
      </c>
    </row>
    <row r="454" spans="22:23" x14ac:dyDescent="0.25">
      <c r="V454">
        <v>453</v>
      </c>
      <c r="W454" s="28">
        <f t="shared" ca="1" si="9"/>
        <v>3.2812628372431152E-2</v>
      </c>
    </row>
    <row r="455" spans="22:23" x14ac:dyDescent="0.25">
      <c r="V455">
        <v>454</v>
      </c>
      <c r="W455" s="28">
        <f t="shared" ca="1" si="9"/>
        <v>0.38840674531466757</v>
      </c>
    </row>
    <row r="456" spans="22:23" x14ac:dyDescent="0.25">
      <c r="V456">
        <v>455</v>
      </c>
      <c r="W456" s="28">
        <f t="shared" ca="1" si="9"/>
        <v>0.46448544224067867</v>
      </c>
    </row>
    <row r="457" spans="22:23" x14ac:dyDescent="0.25">
      <c r="V457">
        <v>456</v>
      </c>
      <c r="W457" s="28">
        <f t="shared" ca="1" si="9"/>
        <v>0.12708276610850833</v>
      </c>
    </row>
    <row r="458" spans="22:23" x14ac:dyDescent="0.25">
      <c r="V458">
        <v>457</v>
      </c>
      <c r="W458" s="28">
        <f t="shared" ca="1" si="9"/>
        <v>0.16626955177428637</v>
      </c>
    </row>
    <row r="459" spans="22:23" x14ac:dyDescent="0.25">
      <c r="V459">
        <v>458</v>
      </c>
      <c r="W459" s="28">
        <f t="shared" ca="1" si="9"/>
        <v>0.11829783889640733</v>
      </c>
    </row>
    <row r="460" spans="22:23" x14ac:dyDescent="0.25">
      <c r="V460">
        <v>459</v>
      </c>
      <c r="W460" s="28">
        <f t="shared" ca="1" si="9"/>
        <v>0.27349231278637798</v>
      </c>
    </row>
    <row r="461" spans="22:23" x14ac:dyDescent="0.25">
      <c r="V461">
        <v>460</v>
      </c>
      <c r="W461" s="28">
        <f t="shared" ca="1" si="9"/>
        <v>0.62009462258679204</v>
      </c>
    </row>
    <row r="462" spans="22:23" x14ac:dyDescent="0.25">
      <c r="V462">
        <v>461</v>
      </c>
      <c r="W462" s="28">
        <f t="shared" ca="1" si="9"/>
        <v>0.36124991703373865</v>
      </c>
    </row>
    <row r="463" spans="22:23" x14ac:dyDescent="0.25">
      <c r="V463">
        <v>462</v>
      </c>
      <c r="W463" s="28">
        <f t="shared" ca="1" si="9"/>
        <v>0.1575500523994694</v>
      </c>
    </row>
    <row r="464" spans="22:23" x14ac:dyDescent="0.25">
      <c r="V464">
        <v>463</v>
      </c>
      <c r="W464" s="28">
        <f t="shared" ca="1" si="9"/>
        <v>0.38232107563717022</v>
      </c>
    </row>
    <row r="465" spans="22:23" x14ac:dyDescent="0.25">
      <c r="V465">
        <v>464</v>
      </c>
      <c r="W465" s="28">
        <f t="shared" ca="1" si="9"/>
        <v>0.25351901145088507</v>
      </c>
    </row>
    <row r="466" spans="22:23" x14ac:dyDescent="0.25">
      <c r="V466">
        <v>465</v>
      </c>
      <c r="W466" s="28">
        <f t="shared" ca="1" si="9"/>
        <v>0.24531197660966031</v>
      </c>
    </row>
    <row r="467" spans="22:23" x14ac:dyDescent="0.25">
      <c r="V467">
        <v>466</v>
      </c>
      <c r="W467" s="28">
        <f t="shared" ca="1" si="9"/>
        <v>0.89359722976015821</v>
      </c>
    </row>
    <row r="468" spans="22:23" x14ac:dyDescent="0.25">
      <c r="V468">
        <v>467</v>
      </c>
      <c r="W468" s="28">
        <f t="shared" ca="1" si="9"/>
        <v>0.86539555854164751</v>
      </c>
    </row>
    <row r="469" spans="22:23" x14ac:dyDescent="0.25">
      <c r="V469">
        <v>468</v>
      </c>
      <c r="W469" s="28">
        <f t="shared" ca="1" si="9"/>
        <v>0.57536695805481963</v>
      </c>
    </row>
    <row r="470" spans="22:23" x14ac:dyDescent="0.25">
      <c r="V470">
        <v>469</v>
      </c>
      <c r="W470" s="28">
        <f t="shared" ca="1" si="9"/>
        <v>0.97533980899354866</v>
      </c>
    </row>
    <row r="471" spans="22:23" x14ac:dyDescent="0.25">
      <c r="V471">
        <v>470</v>
      </c>
      <c r="W471" s="28">
        <f t="shared" ca="1" si="9"/>
        <v>7.6356946700499084E-2</v>
      </c>
    </row>
    <row r="472" spans="22:23" x14ac:dyDescent="0.25">
      <c r="V472">
        <v>471</v>
      </c>
      <c r="W472" s="28">
        <f t="shared" ca="1" si="9"/>
        <v>0.40570021563261538</v>
      </c>
    </row>
    <row r="473" spans="22:23" x14ac:dyDescent="0.25">
      <c r="V473">
        <v>472</v>
      </c>
      <c r="W473" s="28">
        <f t="shared" ca="1" si="9"/>
        <v>0.57973525024769479</v>
      </c>
    </row>
    <row r="474" spans="22:23" x14ac:dyDescent="0.25">
      <c r="V474">
        <v>473</v>
      </c>
      <c r="W474" s="28">
        <f t="shared" ca="1" si="9"/>
        <v>0.77508538972178909</v>
      </c>
    </row>
    <row r="475" spans="22:23" x14ac:dyDescent="0.25">
      <c r="V475">
        <v>474</v>
      </c>
      <c r="W475" s="28">
        <f t="shared" ca="1" si="9"/>
        <v>0.99567568897121017</v>
      </c>
    </row>
    <row r="476" spans="22:23" x14ac:dyDescent="0.25">
      <c r="V476">
        <v>475</v>
      </c>
      <c r="W476" s="28">
        <f t="shared" ca="1" si="9"/>
        <v>0.36113933780546292</v>
      </c>
    </row>
    <row r="477" spans="22:23" x14ac:dyDescent="0.25">
      <c r="V477">
        <v>476</v>
      </c>
      <c r="W477" s="28">
        <f t="shared" ca="1" si="9"/>
        <v>0.12112632195668105</v>
      </c>
    </row>
    <row r="478" spans="22:23" x14ac:dyDescent="0.25">
      <c r="V478">
        <v>477</v>
      </c>
      <c r="W478" s="28">
        <f t="shared" ca="1" si="9"/>
        <v>0.52381290629074484</v>
      </c>
    </row>
    <row r="479" spans="22:23" x14ac:dyDescent="0.25">
      <c r="V479">
        <v>478</v>
      </c>
      <c r="W479" s="28">
        <f t="shared" ca="1" si="9"/>
        <v>0.55437172982373384</v>
      </c>
    </row>
    <row r="480" spans="22:23" x14ac:dyDescent="0.25">
      <c r="V480">
        <v>479</v>
      </c>
      <c r="W480" s="28">
        <f t="shared" ca="1" si="9"/>
        <v>0.58338390035390841</v>
      </c>
    </row>
    <row r="481" spans="22:23" x14ac:dyDescent="0.25">
      <c r="V481">
        <v>480</v>
      </c>
      <c r="W481" s="28">
        <f t="shared" ca="1" si="9"/>
        <v>0.91353764748671662</v>
      </c>
    </row>
    <row r="482" spans="22:23" x14ac:dyDescent="0.25">
      <c r="V482">
        <v>481</v>
      </c>
      <c r="W482" s="28">
        <f t="shared" ca="1" si="9"/>
        <v>0.79570520876314565</v>
      </c>
    </row>
    <row r="483" spans="22:23" x14ac:dyDescent="0.25">
      <c r="V483">
        <v>482</v>
      </c>
      <c r="W483" s="28">
        <f t="shared" ca="1" si="9"/>
        <v>0.51938941073077849</v>
      </c>
    </row>
    <row r="484" spans="22:23" x14ac:dyDescent="0.25">
      <c r="V484">
        <v>483</v>
      </c>
      <c r="W484" s="28">
        <f t="shared" ca="1" si="9"/>
        <v>0.61905673478399603</v>
      </c>
    </row>
    <row r="485" spans="22:23" x14ac:dyDescent="0.25">
      <c r="V485">
        <v>484</v>
      </c>
      <c r="W485" s="28">
        <f t="shared" ca="1" si="9"/>
        <v>0.86765642792293773</v>
      </c>
    </row>
    <row r="486" spans="22:23" x14ac:dyDescent="0.25">
      <c r="V486">
        <v>485</v>
      </c>
      <c r="W486" s="28">
        <f t="shared" ca="1" si="9"/>
        <v>0.61271798652885612</v>
      </c>
    </row>
    <row r="487" spans="22:23" x14ac:dyDescent="0.25">
      <c r="V487">
        <v>486</v>
      </c>
      <c r="W487" s="28">
        <f t="shared" ca="1" si="9"/>
        <v>0.97289111073348356</v>
      </c>
    </row>
    <row r="488" spans="22:23" x14ac:dyDescent="0.25">
      <c r="V488">
        <v>487</v>
      </c>
      <c r="W488" s="28">
        <f t="shared" ca="1" si="9"/>
        <v>0.97991354463447655</v>
      </c>
    </row>
    <row r="489" spans="22:23" x14ac:dyDescent="0.25">
      <c r="V489">
        <v>488</v>
      </c>
      <c r="W489" s="28">
        <f t="shared" ca="1" si="9"/>
        <v>0.67252697065815958</v>
      </c>
    </row>
    <row r="490" spans="22:23" x14ac:dyDescent="0.25">
      <c r="V490">
        <v>489</v>
      </c>
      <c r="W490" s="28">
        <f t="shared" ca="1" si="9"/>
        <v>0.14704529412945599</v>
      </c>
    </row>
    <row r="491" spans="22:23" x14ac:dyDescent="0.25">
      <c r="V491">
        <v>490</v>
      </c>
      <c r="W491" s="28">
        <f t="shared" ca="1" si="9"/>
        <v>0.48939598861481515</v>
      </c>
    </row>
    <row r="492" spans="22:23" x14ac:dyDescent="0.25">
      <c r="V492">
        <v>491</v>
      </c>
      <c r="W492" s="28">
        <f t="shared" ca="1" si="9"/>
        <v>0.84264666917058961</v>
      </c>
    </row>
    <row r="493" spans="22:23" x14ac:dyDescent="0.25">
      <c r="V493">
        <v>492</v>
      </c>
      <c r="W493" s="28">
        <f t="shared" ca="1" si="9"/>
        <v>1.6201720937425335E-2</v>
      </c>
    </row>
    <row r="494" spans="22:23" x14ac:dyDescent="0.25">
      <c r="V494">
        <v>493</v>
      </c>
      <c r="W494" s="28">
        <f t="shared" ca="1" si="9"/>
        <v>0.82161008029338978</v>
      </c>
    </row>
    <row r="495" spans="22:23" x14ac:dyDescent="0.25">
      <c r="V495">
        <v>494</v>
      </c>
      <c r="W495" s="28">
        <f t="shared" ca="1" si="9"/>
        <v>0.15541530916697954</v>
      </c>
    </row>
    <row r="496" spans="22:23" x14ac:dyDescent="0.25">
      <c r="V496">
        <v>495</v>
      </c>
      <c r="W496" s="28">
        <f t="shared" ca="1" si="9"/>
        <v>0.48831640508036378</v>
      </c>
    </row>
    <row r="497" spans="22:23" x14ac:dyDescent="0.25">
      <c r="V497">
        <v>496</v>
      </c>
      <c r="W497" s="28">
        <f t="shared" ca="1" si="9"/>
        <v>0.3927056945524855</v>
      </c>
    </row>
    <row r="498" spans="22:23" x14ac:dyDescent="0.25">
      <c r="V498">
        <v>497</v>
      </c>
      <c r="W498" s="28">
        <f t="shared" ca="1" si="9"/>
        <v>0.71530566940858076</v>
      </c>
    </row>
    <row r="499" spans="22:23" x14ac:dyDescent="0.25">
      <c r="V499">
        <v>498</v>
      </c>
      <c r="W499" s="28">
        <f t="shared" ca="1" si="9"/>
        <v>0.82284612328511886</v>
      </c>
    </row>
    <row r="500" spans="22:23" x14ac:dyDescent="0.25">
      <c r="V500">
        <v>499</v>
      </c>
      <c r="W500" s="28">
        <f t="shared" ca="1" si="9"/>
        <v>0.61681877745866986</v>
      </c>
    </row>
    <row r="501" spans="22:23" x14ac:dyDescent="0.25">
      <c r="V501">
        <v>500</v>
      </c>
      <c r="W501" s="28">
        <f t="shared" ca="1" si="9"/>
        <v>0.7473244046495704</v>
      </c>
    </row>
    <row r="502" spans="22:23" x14ac:dyDescent="0.25">
      <c r="V502">
        <v>501</v>
      </c>
      <c r="W502" s="28">
        <f t="shared" ca="1" si="9"/>
        <v>0.80670707972395839</v>
      </c>
    </row>
    <row r="503" spans="22:23" x14ac:dyDescent="0.25">
      <c r="V503">
        <v>502</v>
      </c>
      <c r="W503" s="28">
        <f t="shared" ca="1" si="9"/>
        <v>0.71805383862663563</v>
      </c>
    </row>
    <row r="504" spans="22:23" x14ac:dyDescent="0.25">
      <c r="V504">
        <v>503</v>
      </c>
      <c r="W504" s="28">
        <f t="shared" ca="1" si="9"/>
        <v>0.17669015097589102</v>
      </c>
    </row>
    <row r="505" spans="22:23" x14ac:dyDescent="0.25">
      <c r="V505">
        <v>504</v>
      </c>
      <c r="W505" s="28">
        <f t="shared" ca="1" si="9"/>
        <v>0.94064106722968543</v>
      </c>
    </row>
    <row r="506" spans="22:23" x14ac:dyDescent="0.25">
      <c r="V506">
        <v>505</v>
      </c>
      <c r="W506" s="28">
        <f t="shared" ca="1" si="9"/>
        <v>0.13465465270070365</v>
      </c>
    </row>
    <row r="507" spans="22:23" x14ac:dyDescent="0.25">
      <c r="V507">
        <v>506</v>
      </c>
      <c r="W507" s="28">
        <f t="shared" ca="1" si="9"/>
        <v>0.81197281830927548</v>
      </c>
    </row>
    <row r="508" spans="22:23" x14ac:dyDescent="0.25">
      <c r="V508">
        <v>507</v>
      </c>
      <c r="W508" s="28">
        <f t="shared" ca="1" si="9"/>
        <v>0.70039223162920949</v>
      </c>
    </row>
    <row r="509" spans="22:23" x14ac:dyDescent="0.25">
      <c r="V509">
        <v>508</v>
      </c>
      <c r="W509" s="28">
        <f t="shared" ca="1" si="9"/>
        <v>0.38696944329634464</v>
      </c>
    </row>
    <row r="510" spans="22:23" x14ac:dyDescent="0.25">
      <c r="V510">
        <v>509</v>
      </c>
      <c r="W510" s="28">
        <f t="shared" ca="1" si="9"/>
        <v>0.63563537231685241</v>
      </c>
    </row>
    <row r="511" spans="22:23" x14ac:dyDescent="0.25">
      <c r="V511">
        <v>510</v>
      </c>
      <c r="W511" s="28">
        <f t="shared" ca="1" si="9"/>
        <v>0.77774474795654613</v>
      </c>
    </row>
    <row r="512" spans="22:23" x14ac:dyDescent="0.25">
      <c r="V512">
        <v>511</v>
      </c>
      <c r="W512" s="28">
        <f t="shared" ca="1" si="9"/>
        <v>0.35178020781711006</v>
      </c>
    </row>
    <row r="513" spans="22:23" x14ac:dyDescent="0.25">
      <c r="V513">
        <v>512</v>
      </c>
      <c r="W513" s="28">
        <f t="shared" ca="1" si="9"/>
        <v>0.41571727738003672</v>
      </c>
    </row>
    <row r="514" spans="22:23" x14ac:dyDescent="0.25">
      <c r="V514">
        <v>513</v>
      </c>
      <c r="W514" s="28">
        <f t="shared" ca="1" si="9"/>
        <v>0.65747884412423863</v>
      </c>
    </row>
    <row r="515" spans="22:23" x14ac:dyDescent="0.25">
      <c r="V515">
        <v>514</v>
      </c>
      <c r="W515" s="28">
        <f t="shared" ref="W515:W578" ca="1" si="10">RAND()</f>
        <v>0.56209305192105397</v>
      </c>
    </row>
    <row r="516" spans="22:23" x14ac:dyDescent="0.25">
      <c r="V516">
        <v>515</v>
      </c>
      <c r="W516" s="28">
        <f t="shared" ca="1" si="10"/>
        <v>2.9545581866511239E-2</v>
      </c>
    </row>
    <row r="517" spans="22:23" x14ac:dyDescent="0.25">
      <c r="V517">
        <v>516</v>
      </c>
      <c r="W517" s="28">
        <f t="shared" ca="1" si="10"/>
        <v>0.48816259507382675</v>
      </c>
    </row>
    <row r="518" spans="22:23" x14ac:dyDescent="0.25">
      <c r="V518">
        <v>517</v>
      </c>
      <c r="W518" s="28">
        <f t="shared" ca="1" si="10"/>
        <v>0.97499365576627584</v>
      </c>
    </row>
    <row r="519" spans="22:23" x14ac:dyDescent="0.25">
      <c r="V519">
        <v>518</v>
      </c>
      <c r="W519" s="28">
        <f t="shared" ca="1" si="10"/>
        <v>0.59958754168376316</v>
      </c>
    </row>
    <row r="520" spans="22:23" x14ac:dyDescent="0.25">
      <c r="V520">
        <v>519</v>
      </c>
      <c r="W520" s="28">
        <f t="shared" ca="1" si="10"/>
        <v>0.19386386376030718</v>
      </c>
    </row>
    <row r="521" spans="22:23" x14ac:dyDescent="0.25">
      <c r="V521">
        <v>520</v>
      </c>
      <c r="W521" s="28">
        <f t="shared" ca="1" si="10"/>
        <v>0.31589117187684368</v>
      </c>
    </row>
    <row r="522" spans="22:23" x14ac:dyDescent="0.25">
      <c r="V522">
        <v>521</v>
      </c>
      <c r="W522" s="28">
        <f t="shared" ca="1" si="10"/>
        <v>0.39758902946340291</v>
      </c>
    </row>
    <row r="523" spans="22:23" x14ac:dyDescent="0.25">
      <c r="V523">
        <v>522</v>
      </c>
      <c r="W523" s="28">
        <f t="shared" ca="1" si="10"/>
        <v>0.65904730979769388</v>
      </c>
    </row>
    <row r="524" spans="22:23" x14ac:dyDescent="0.25">
      <c r="V524">
        <v>523</v>
      </c>
      <c r="W524" s="28">
        <f t="shared" ca="1" si="10"/>
        <v>0.26361292669795977</v>
      </c>
    </row>
    <row r="525" spans="22:23" x14ac:dyDescent="0.25">
      <c r="V525">
        <v>524</v>
      </c>
      <c r="W525" s="28">
        <f t="shared" ca="1" si="10"/>
        <v>8.2362004426694835E-4</v>
      </c>
    </row>
    <row r="526" spans="22:23" x14ac:dyDescent="0.25">
      <c r="V526">
        <v>525</v>
      </c>
      <c r="W526" s="28">
        <f t="shared" ca="1" si="10"/>
        <v>0.37787890229361543</v>
      </c>
    </row>
    <row r="527" spans="22:23" x14ac:dyDescent="0.25">
      <c r="V527">
        <v>526</v>
      </c>
      <c r="W527" s="28">
        <f t="shared" ca="1" si="10"/>
        <v>0.27990001030394596</v>
      </c>
    </row>
    <row r="528" spans="22:23" x14ac:dyDescent="0.25">
      <c r="V528">
        <v>527</v>
      </c>
      <c r="W528" s="28">
        <f t="shared" ca="1" si="10"/>
        <v>0.70364843744500638</v>
      </c>
    </row>
    <row r="529" spans="22:23" x14ac:dyDescent="0.25">
      <c r="V529">
        <v>528</v>
      </c>
      <c r="W529" s="28">
        <f t="shared" ca="1" si="10"/>
        <v>0.63608995964046344</v>
      </c>
    </row>
    <row r="530" spans="22:23" x14ac:dyDescent="0.25">
      <c r="V530">
        <v>529</v>
      </c>
      <c r="W530" s="28">
        <f t="shared" ca="1" si="10"/>
        <v>0.86624829049732466</v>
      </c>
    </row>
    <row r="531" spans="22:23" x14ac:dyDescent="0.25">
      <c r="V531">
        <v>530</v>
      </c>
      <c r="W531" s="28">
        <f t="shared" ca="1" si="10"/>
        <v>0.99903822775580431</v>
      </c>
    </row>
    <row r="532" spans="22:23" x14ac:dyDescent="0.25">
      <c r="V532">
        <v>531</v>
      </c>
      <c r="W532" s="28">
        <f t="shared" ca="1" si="10"/>
        <v>2.6214898280969567E-3</v>
      </c>
    </row>
    <row r="533" spans="22:23" x14ac:dyDescent="0.25">
      <c r="V533">
        <v>532</v>
      </c>
      <c r="W533" s="28">
        <f t="shared" ca="1" si="10"/>
        <v>0.22641589473541912</v>
      </c>
    </row>
    <row r="534" spans="22:23" x14ac:dyDescent="0.25">
      <c r="V534">
        <v>533</v>
      </c>
      <c r="W534" s="28">
        <f t="shared" ca="1" si="10"/>
        <v>1.2453607806420908E-2</v>
      </c>
    </row>
    <row r="535" spans="22:23" x14ac:dyDescent="0.25">
      <c r="V535">
        <v>534</v>
      </c>
      <c r="W535" s="28">
        <f t="shared" ca="1" si="10"/>
        <v>0.24235564691837275</v>
      </c>
    </row>
    <row r="536" spans="22:23" x14ac:dyDescent="0.25">
      <c r="V536">
        <v>535</v>
      </c>
      <c r="W536" s="28">
        <f t="shared" ca="1" si="10"/>
        <v>0.32340107143020114</v>
      </c>
    </row>
    <row r="537" spans="22:23" x14ac:dyDescent="0.25">
      <c r="V537">
        <v>536</v>
      </c>
      <c r="W537" s="28">
        <f t="shared" ca="1" si="10"/>
        <v>0.1584240612818274</v>
      </c>
    </row>
    <row r="538" spans="22:23" x14ac:dyDescent="0.25">
      <c r="V538">
        <v>537</v>
      </c>
      <c r="W538" s="28">
        <f t="shared" ca="1" si="10"/>
        <v>0.31742667373500333</v>
      </c>
    </row>
    <row r="539" spans="22:23" x14ac:dyDescent="0.25">
      <c r="V539">
        <v>538</v>
      </c>
      <c r="W539" s="28">
        <f t="shared" ca="1" si="10"/>
        <v>0.90510652766906263</v>
      </c>
    </row>
    <row r="540" spans="22:23" x14ac:dyDescent="0.25">
      <c r="V540">
        <v>539</v>
      </c>
      <c r="W540" s="28">
        <f t="shared" ca="1" si="10"/>
        <v>0.28179285372207752</v>
      </c>
    </row>
    <row r="541" spans="22:23" x14ac:dyDescent="0.25">
      <c r="V541">
        <v>540</v>
      </c>
      <c r="W541" s="28">
        <f t="shared" ca="1" si="10"/>
        <v>0.49830814610097973</v>
      </c>
    </row>
    <row r="542" spans="22:23" x14ac:dyDescent="0.25">
      <c r="V542">
        <v>541</v>
      </c>
      <c r="W542" s="28">
        <f t="shared" ca="1" si="10"/>
        <v>0.22163937579480208</v>
      </c>
    </row>
    <row r="543" spans="22:23" x14ac:dyDescent="0.25">
      <c r="V543">
        <v>542</v>
      </c>
      <c r="W543" s="28">
        <f t="shared" ca="1" si="10"/>
        <v>0.26037071640605514</v>
      </c>
    </row>
    <row r="544" spans="22:23" x14ac:dyDescent="0.25">
      <c r="V544">
        <v>543</v>
      </c>
      <c r="W544" s="28">
        <f t="shared" ca="1" si="10"/>
        <v>0.60204731838435632</v>
      </c>
    </row>
    <row r="545" spans="22:23" x14ac:dyDescent="0.25">
      <c r="V545">
        <v>544</v>
      </c>
      <c r="W545" s="28">
        <f t="shared" ca="1" si="10"/>
        <v>0.75156893969807792</v>
      </c>
    </row>
    <row r="546" spans="22:23" x14ac:dyDescent="0.25">
      <c r="V546">
        <v>545</v>
      </c>
      <c r="W546" s="28">
        <f t="shared" ca="1" si="10"/>
        <v>0.7119206905484583</v>
      </c>
    </row>
    <row r="547" spans="22:23" x14ac:dyDescent="0.25">
      <c r="V547">
        <v>546</v>
      </c>
      <c r="W547" s="28">
        <f t="shared" ca="1" si="10"/>
        <v>0.78824549106903707</v>
      </c>
    </row>
    <row r="548" spans="22:23" x14ac:dyDescent="0.25">
      <c r="V548">
        <v>547</v>
      </c>
      <c r="W548" s="28">
        <f t="shared" ca="1" si="10"/>
        <v>0.20973878795094114</v>
      </c>
    </row>
    <row r="549" spans="22:23" x14ac:dyDescent="0.25">
      <c r="V549">
        <v>548</v>
      </c>
      <c r="W549" s="28">
        <f t="shared" ca="1" si="10"/>
        <v>0.6793230251377026</v>
      </c>
    </row>
    <row r="550" spans="22:23" x14ac:dyDescent="0.25">
      <c r="V550">
        <v>549</v>
      </c>
      <c r="W550" s="28">
        <f t="shared" ca="1" si="10"/>
        <v>0.72089997559659658</v>
      </c>
    </row>
    <row r="551" spans="22:23" x14ac:dyDescent="0.25">
      <c r="V551">
        <v>550</v>
      </c>
      <c r="W551" s="28">
        <f t="shared" ca="1" si="10"/>
        <v>0.4723967126108507</v>
      </c>
    </row>
    <row r="552" spans="22:23" x14ac:dyDescent="0.25">
      <c r="V552">
        <v>551</v>
      </c>
      <c r="W552" s="28">
        <f t="shared" ca="1" si="10"/>
        <v>0.50927512333552161</v>
      </c>
    </row>
    <row r="553" spans="22:23" x14ac:dyDescent="0.25">
      <c r="V553">
        <v>552</v>
      </c>
      <c r="W553" s="28">
        <f t="shared" ca="1" si="10"/>
        <v>0.19004183044482958</v>
      </c>
    </row>
    <row r="554" spans="22:23" x14ac:dyDescent="0.25">
      <c r="V554">
        <v>553</v>
      </c>
      <c r="W554" s="28">
        <f t="shared" ca="1" si="10"/>
        <v>0.92666292926768679</v>
      </c>
    </row>
    <row r="555" spans="22:23" x14ac:dyDescent="0.25">
      <c r="V555">
        <v>554</v>
      </c>
      <c r="W555" s="28">
        <f t="shared" ca="1" si="10"/>
        <v>0.95524727405509968</v>
      </c>
    </row>
    <row r="556" spans="22:23" x14ac:dyDescent="0.25">
      <c r="V556">
        <v>555</v>
      </c>
      <c r="W556" s="28">
        <f t="shared" ca="1" si="10"/>
        <v>0.93926797678876339</v>
      </c>
    </row>
    <row r="557" spans="22:23" x14ac:dyDescent="0.25">
      <c r="V557">
        <v>556</v>
      </c>
      <c r="W557" s="28">
        <f t="shared" ca="1" si="10"/>
        <v>0.35682190090098109</v>
      </c>
    </row>
    <row r="558" spans="22:23" x14ac:dyDescent="0.25">
      <c r="V558">
        <v>557</v>
      </c>
      <c r="W558" s="28">
        <f t="shared" ca="1" si="10"/>
        <v>6.4385406771394593E-2</v>
      </c>
    </row>
    <row r="559" spans="22:23" x14ac:dyDescent="0.25">
      <c r="V559">
        <v>558</v>
      </c>
      <c r="W559" s="28">
        <f t="shared" ca="1" si="10"/>
        <v>0.59683245346406388</v>
      </c>
    </row>
    <row r="560" spans="22:23" x14ac:dyDescent="0.25">
      <c r="V560">
        <v>559</v>
      </c>
      <c r="W560" s="28">
        <f t="shared" ca="1" si="10"/>
        <v>0.27390649581988236</v>
      </c>
    </row>
    <row r="561" spans="22:23" x14ac:dyDescent="0.25">
      <c r="V561">
        <v>560</v>
      </c>
      <c r="W561" s="28">
        <f t="shared" ca="1" si="10"/>
        <v>7.3937770974960237E-2</v>
      </c>
    </row>
    <row r="562" spans="22:23" x14ac:dyDescent="0.25">
      <c r="V562">
        <v>561</v>
      </c>
      <c r="W562" s="28">
        <f t="shared" ca="1" si="10"/>
        <v>0.40111881324201704</v>
      </c>
    </row>
    <row r="563" spans="22:23" x14ac:dyDescent="0.25">
      <c r="V563">
        <v>562</v>
      </c>
      <c r="W563" s="28">
        <f t="shared" ca="1" si="10"/>
        <v>0.39226543744186326</v>
      </c>
    </row>
    <row r="564" spans="22:23" x14ac:dyDescent="0.25">
      <c r="V564">
        <v>563</v>
      </c>
      <c r="W564" s="28">
        <f t="shared" ca="1" si="10"/>
        <v>0.96446463605072874</v>
      </c>
    </row>
    <row r="565" spans="22:23" x14ac:dyDescent="0.25">
      <c r="V565">
        <v>564</v>
      </c>
      <c r="W565" s="28">
        <f t="shared" ca="1" si="10"/>
        <v>0.36731260316391512</v>
      </c>
    </row>
    <row r="566" spans="22:23" x14ac:dyDescent="0.25">
      <c r="V566">
        <v>565</v>
      </c>
      <c r="W566" s="28">
        <f t="shared" ca="1" si="10"/>
        <v>0.93133759405572236</v>
      </c>
    </row>
    <row r="567" spans="22:23" x14ac:dyDescent="0.25">
      <c r="V567">
        <v>566</v>
      </c>
      <c r="W567" s="28">
        <f t="shared" ca="1" si="10"/>
        <v>0.14304560257448029</v>
      </c>
    </row>
    <row r="568" spans="22:23" x14ac:dyDescent="0.25">
      <c r="V568">
        <v>567</v>
      </c>
      <c r="W568" s="28">
        <f t="shared" ca="1" si="10"/>
        <v>0.94628186478590359</v>
      </c>
    </row>
    <row r="569" spans="22:23" x14ac:dyDescent="0.25">
      <c r="V569">
        <v>568</v>
      </c>
      <c r="W569" s="28">
        <f t="shared" ca="1" si="10"/>
        <v>0.71571104636958094</v>
      </c>
    </row>
    <row r="570" spans="22:23" x14ac:dyDescent="0.25">
      <c r="V570">
        <v>569</v>
      </c>
      <c r="W570" s="28">
        <f t="shared" ca="1" si="10"/>
        <v>0.15433325977981938</v>
      </c>
    </row>
    <row r="571" spans="22:23" x14ac:dyDescent="0.25">
      <c r="V571">
        <v>570</v>
      </c>
      <c r="W571" s="28">
        <f t="shared" ca="1" si="10"/>
        <v>0.91084166925985066</v>
      </c>
    </row>
    <row r="572" spans="22:23" x14ac:dyDescent="0.25">
      <c r="V572">
        <v>571</v>
      </c>
      <c r="W572" s="28">
        <f t="shared" ca="1" si="10"/>
        <v>0.98177943826950154</v>
      </c>
    </row>
    <row r="573" spans="22:23" x14ac:dyDescent="0.25">
      <c r="V573">
        <v>572</v>
      </c>
      <c r="W573" s="28">
        <f t="shared" ca="1" si="10"/>
        <v>0.74066126220375772</v>
      </c>
    </row>
    <row r="574" spans="22:23" x14ac:dyDescent="0.25">
      <c r="V574">
        <v>573</v>
      </c>
      <c r="W574" s="28">
        <f t="shared" ca="1" si="10"/>
        <v>2.0161604689168278E-2</v>
      </c>
    </row>
    <row r="575" spans="22:23" x14ac:dyDescent="0.25">
      <c r="V575">
        <v>574</v>
      </c>
      <c r="W575" s="28">
        <f t="shared" ca="1" si="10"/>
        <v>0.4895864069263951</v>
      </c>
    </row>
    <row r="576" spans="22:23" x14ac:dyDescent="0.25">
      <c r="V576">
        <v>575</v>
      </c>
      <c r="W576" s="28">
        <f t="shared" ca="1" si="10"/>
        <v>0.21732416902295859</v>
      </c>
    </row>
    <row r="577" spans="22:23" x14ac:dyDescent="0.25">
      <c r="V577">
        <v>576</v>
      </c>
      <c r="W577" s="28">
        <f t="shared" ca="1" si="10"/>
        <v>6.5367798092318852E-2</v>
      </c>
    </row>
    <row r="578" spans="22:23" x14ac:dyDescent="0.25">
      <c r="V578">
        <v>577</v>
      </c>
      <c r="W578" s="28">
        <f t="shared" ca="1" si="10"/>
        <v>9.2897446412533946E-2</v>
      </c>
    </row>
    <row r="579" spans="22:23" x14ac:dyDescent="0.25">
      <c r="V579">
        <v>578</v>
      </c>
      <c r="W579" s="28">
        <f t="shared" ref="W579:W642" ca="1" si="11">RAND()</f>
        <v>0.69895243855606481</v>
      </c>
    </row>
    <row r="580" spans="22:23" x14ac:dyDescent="0.25">
      <c r="V580">
        <v>579</v>
      </c>
      <c r="W580" s="28">
        <f t="shared" ca="1" si="11"/>
        <v>0.25380642015172128</v>
      </c>
    </row>
    <row r="581" spans="22:23" x14ac:dyDescent="0.25">
      <c r="V581">
        <v>580</v>
      </c>
      <c r="W581" s="28">
        <f t="shared" ca="1" si="11"/>
        <v>0.97667642023797663</v>
      </c>
    </row>
    <row r="582" spans="22:23" x14ac:dyDescent="0.25">
      <c r="V582">
        <v>581</v>
      </c>
      <c r="W582" s="28">
        <f t="shared" ca="1" si="11"/>
        <v>0.13029490124893328</v>
      </c>
    </row>
    <row r="583" spans="22:23" x14ac:dyDescent="0.25">
      <c r="V583">
        <v>582</v>
      </c>
      <c r="W583" s="28">
        <f t="shared" ca="1" si="11"/>
        <v>0.74678414462534004</v>
      </c>
    </row>
    <row r="584" spans="22:23" x14ac:dyDescent="0.25">
      <c r="V584">
        <v>583</v>
      </c>
      <c r="W584" s="28">
        <f t="shared" ca="1" si="11"/>
        <v>0.61074503232095367</v>
      </c>
    </row>
    <row r="585" spans="22:23" x14ac:dyDescent="0.25">
      <c r="V585">
        <v>584</v>
      </c>
      <c r="W585" s="28">
        <f t="shared" ca="1" si="11"/>
        <v>0.47248602833677233</v>
      </c>
    </row>
    <row r="586" spans="22:23" x14ac:dyDescent="0.25">
      <c r="V586">
        <v>585</v>
      </c>
      <c r="W586" s="28">
        <f t="shared" ca="1" si="11"/>
        <v>0.52052846653198914</v>
      </c>
    </row>
    <row r="587" spans="22:23" x14ac:dyDescent="0.25">
      <c r="V587">
        <v>586</v>
      </c>
      <c r="W587" s="28">
        <f t="shared" ca="1" si="11"/>
        <v>0.28859749488867903</v>
      </c>
    </row>
    <row r="588" spans="22:23" x14ac:dyDescent="0.25">
      <c r="V588">
        <v>587</v>
      </c>
      <c r="W588" s="28">
        <f t="shared" ca="1" si="11"/>
        <v>0.17517940558208245</v>
      </c>
    </row>
    <row r="589" spans="22:23" x14ac:dyDescent="0.25">
      <c r="V589">
        <v>588</v>
      </c>
      <c r="W589" s="28">
        <f t="shared" ca="1" si="11"/>
        <v>0.25310203853025548</v>
      </c>
    </row>
    <row r="590" spans="22:23" x14ac:dyDescent="0.25">
      <c r="V590">
        <v>589</v>
      </c>
      <c r="W590" s="28">
        <f t="shared" ca="1" si="11"/>
        <v>0.9239411490646956</v>
      </c>
    </row>
    <row r="591" spans="22:23" x14ac:dyDescent="0.25">
      <c r="V591">
        <v>590</v>
      </c>
      <c r="W591" s="28">
        <f t="shared" ca="1" si="11"/>
        <v>5.7352603484885356E-2</v>
      </c>
    </row>
    <row r="592" spans="22:23" x14ac:dyDescent="0.25">
      <c r="V592">
        <v>591</v>
      </c>
      <c r="W592" s="28">
        <f t="shared" ca="1" si="11"/>
        <v>0.97359383551389589</v>
      </c>
    </row>
    <row r="593" spans="22:23" x14ac:dyDescent="0.25">
      <c r="V593">
        <v>592</v>
      </c>
      <c r="W593" s="28">
        <f t="shared" ca="1" si="11"/>
        <v>0.83101763987992461</v>
      </c>
    </row>
    <row r="594" spans="22:23" x14ac:dyDescent="0.25">
      <c r="V594">
        <v>593</v>
      </c>
      <c r="W594" s="28">
        <f t="shared" ca="1" si="11"/>
        <v>0.18087389063168569</v>
      </c>
    </row>
    <row r="595" spans="22:23" x14ac:dyDescent="0.25">
      <c r="V595">
        <v>594</v>
      </c>
      <c r="W595" s="28">
        <f t="shared" ca="1" si="11"/>
        <v>0.39644299562339025</v>
      </c>
    </row>
    <row r="596" spans="22:23" x14ac:dyDescent="0.25">
      <c r="V596">
        <v>595</v>
      </c>
      <c r="W596" s="28">
        <f t="shared" ca="1" si="11"/>
        <v>0.56429136709859751</v>
      </c>
    </row>
    <row r="597" spans="22:23" x14ac:dyDescent="0.25">
      <c r="V597">
        <v>596</v>
      </c>
      <c r="W597" s="28">
        <f t="shared" ca="1" si="11"/>
        <v>0.28825387956004356</v>
      </c>
    </row>
    <row r="598" spans="22:23" x14ac:dyDescent="0.25">
      <c r="V598">
        <v>597</v>
      </c>
      <c r="W598" s="28">
        <f t="shared" ca="1" si="11"/>
        <v>0.73084903696299419</v>
      </c>
    </row>
    <row r="599" spans="22:23" x14ac:dyDescent="0.25">
      <c r="V599">
        <v>598</v>
      </c>
      <c r="W599" s="28">
        <f t="shared" ca="1" si="11"/>
        <v>0.91726775612640044</v>
      </c>
    </row>
    <row r="600" spans="22:23" x14ac:dyDescent="0.25">
      <c r="V600">
        <v>599</v>
      </c>
      <c r="W600" s="28">
        <f t="shared" ca="1" si="11"/>
        <v>0.40017572975599958</v>
      </c>
    </row>
    <row r="601" spans="22:23" x14ac:dyDescent="0.25">
      <c r="V601">
        <v>600</v>
      </c>
      <c r="W601" s="28">
        <f t="shared" ca="1" si="11"/>
        <v>0.16645605696169929</v>
      </c>
    </row>
    <row r="602" spans="22:23" x14ac:dyDescent="0.25">
      <c r="V602">
        <v>601</v>
      </c>
      <c r="W602" s="28">
        <f t="shared" ca="1" si="11"/>
        <v>7.4106900797858977E-3</v>
      </c>
    </row>
    <row r="603" spans="22:23" x14ac:dyDescent="0.25">
      <c r="V603">
        <v>602</v>
      </c>
      <c r="W603" s="28">
        <f t="shared" ca="1" si="11"/>
        <v>0.89194392452132576</v>
      </c>
    </row>
    <row r="604" spans="22:23" x14ac:dyDescent="0.25">
      <c r="V604">
        <v>603</v>
      </c>
      <c r="W604" s="28">
        <f t="shared" ca="1" si="11"/>
        <v>4.365885634984823E-2</v>
      </c>
    </row>
    <row r="605" spans="22:23" x14ac:dyDescent="0.25">
      <c r="V605">
        <v>604</v>
      </c>
      <c r="W605" s="28">
        <f t="shared" ca="1" si="11"/>
        <v>0.26290714062884712</v>
      </c>
    </row>
    <row r="606" spans="22:23" x14ac:dyDescent="0.25">
      <c r="V606">
        <v>605</v>
      </c>
      <c r="W606" s="28">
        <f t="shared" ca="1" si="11"/>
        <v>0.38131393238318245</v>
      </c>
    </row>
    <row r="607" spans="22:23" x14ac:dyDescent="0.25">
      <c r="V607">
        <v>606</v>
      </c>
      <c r="W607" s="28">
        <f t="shared" ca="1" si="11"/>
        <v>0.24519643152567716</v>
      </c>
    </row>
    <row r="608" spans="22:23" x14ac:dyDescent="0.25">
      <c r="V608">
        <v>607</v>
      </c>
      <c r="W608" s="28">
        <f t="shared" ca="1" si="11"/>
        <v>0.14425483714330845</v>
      </c>
    </row>
    <row r="609" spans="22:23" x14ac:dyDescent="0.25">
      <c r="V609">
        <v>608</v>
      </c>
      <c r="W609" s="28">
        <f t="shared" ca="1" si="11"/>
        <v>0.91678549668027298</v>
      </c>
    </row>
    <row r="610" spans="22:23" x14ac:dyDescent="0.25">
      <c r="V610">
        <v>609</v>
      </c>
      <c r="W610" s="28">
        <f t="shared" ca="1" si="11"/>
        <v>0.95797015989188394</v>
      </c>
    </row>
    <row r="611" spans="22:23" x14ac:dyDescent="0.25">
      <c r="V611">
        <v>610</v>
      </c>
      <c r="W611" s="28">
        <f t="shared" ca="1" si="11"/>
        <v>0.97395611064423526</v>
      </c>
    </row>
    <row r="612" spans="22:23" x14ac:dyDescent="0.25">
      <c r="V612">
        <v>611</v>
      </c>
      <c r="W612" s="28">
        <f t="shared" ca="1" si="11"/>
        <v>0.57091925996768456</v>
      </c>
    </row>
    <row r="613" spans="22:23" x14ac:dyDescent="0.25">
      <c r="V613">
        <v>612</v>
      </c>
      <c r="W613" s="28">
        <f t="shared" ca="1" si="11"/>
        <v>0.27850486712442768</v>
      </c>
    </row>
    <row r="614" spans="22:23" x14ac:dyDescent="0.25">
      <c r="V614">
        <v>613</v>
      </c>
      <c r="W614" s="28">
        <f t="shared" ca="1" si="11"/>
        <v>0.95677545677668263</v>
      </c>
    </row>
    <row r="615" spans="22:23" x14ac:dyDescent="0.25">
      <c r="V615">
        <v>614</v>
      </c>
      <c r="W615" s="28">
        <f t="shared" ca="1" si="11"/>
        <v>0.97180663995498928</v>
      </c>
    </row>
    <row r="616" spans="22:23" x14ac:dyDescent="0.25">
      <c r="V616">
        <v>615</v>
      </c>
      <c r="W616" s="28">
        <f t="shared" ca="1" si="11"/>
        <v>0.21287902853400587</v>
      </c>
    </row>
    <row r="617" spans="22:23" x14ac:dyDescent="0.25">
      <c r="V617">
        <v>616</v>
      </c>
      <c r="W617" s="28">
        <f t="shared" ca="1" si="11"/>
        <v>0.1900081235028418</v>
      </c>
    </row>
    <row r="618" spans="22:23" x14ac:dyDescent="0.25">
      <c r="V618">
        <v>617</v>
      </c>
      <c r="W618" s="28">
        <f t="shared" ca="1" si="11"/>
        <v>0.11633067551699983</v>
      </c>
    </row>
    <row r="619" spans="22:23" x14ac:dyDescent="0.25">
      <c r="V619">
        <v>618</v>
      </c>
      <c r="W619" s="28">
        <f t="shared" ca="1" si="11"/>
        <v>0.84604451647678602</v>
      </c>
    </row>
    <row r="620" spans="22:23" x14ac:dyDescent="0.25">
      <c r="V620">
        <v>619</v>
      </c>
      <c r="W620" s="28">
        <f t="shared" ca="1" si="11"/>
        <v>0.33498152104892442</v>
      </c>
    </row>
    <row r="621" spans="22:23" x14ac:dyDescent="0.25">
      <c r="V621">
        <v>620</v>
      </c>
      <c r="W621" s="28">
        <f t="shared" ca="1" si="11"/>
        <v>0.13687347715566422</v>
      </c>
    </row>
    <row r="622" spans="22:23" x14ac:dyDescent="0.25">
      <c r="V622">
        <v>621</v>
      </c>
      <c r="W622" s="28">
        <f t="shared" ca="1" si="11"/>
        <v>0.43341325344679271</v>
      </c>
    </row>
    <row r="623" spans="22:23" x14ac:dyDescent="0.25">
      <c r="V623">
        <v>622</v>
      </c>
      <c r="W623" s="28">
        <f t="shared" ca="1" si="11"/>
        <v>0.73629288031560081</v>
      </c>
    </row>
    <row r="624" spans="22:23" x14ac:dyDescent="0.25">
      <c r="V624">
        <v>623</v>
      </c>
      <c r="W624" s="28">
        <f t="shared" ca="1" si="11"/>
        <v>0.28802015441017137</v>
      </c>
    </row>
    <row r="625" spans="22:23" x14ac:dyDescent="0.25">
      <c r="V625">
        <v>624</v>
      </c>
      <c r="W625" s="28">
        <f t="shared" ca="1" si="11"/>
        <v>0.53984131468251528</v>
      </c>
    </row>
    <row r="626" spans="22:23" x14ac:dyDescent="0.25">
      <c r="V626">
        <v>625</v>
      </c>
      <c r="W626" s="28">
        <f t="shared" ca="1" si="11"/>
        <v>0.38131089538244878</v>
      </c>
    </row>
    <row r="627" spans="22:23" x14ac:dyDescent="0.25">
      <c r="V627">
        <v>626</v>
      </c>
      <c r="W627" s="28">
        <f t="shared" ca="1" si="11"/>
        <v>0.75245857586052822</v>
      </c>
    </row>
    <row r="628" spans="22:23" x14ac:dyDescent="0.25">
      <c r="V628">
        <v>627</v>
      </c>
      <c r="W628" s="28">
        <f t="shared" ca="1" si="11"/>
        <v>0.67889612427043244</v>
      </c>
    </row>
    <row r="629" spans="22:23" x14ac:dyDescent="0.25">
      <c r="V629">
        <v>628</v>
      </c>
      <c r="W629" s="28">
        <f t="shared" ca="1" si="11"/>
        <v>0.33583296232450288</v>
      </c>
    </row>
    <row r="630" spans="22:23" x14ac:dyDescent="0.25">
      <c r="V630">
        <v>629</v>
      </c>
      <c r="W630" s="28">
        <f t="shared" ca="1" si="11"/>
        <v>0.59366661237065066</v>
      </c>
    </row>
    <row r="631" spans="22:23" x14ac:dyDescent="0.25">
      <c r="V631">
        <v>630</v>
      </c>
      <c r="W631" s="28">
        <f t="shared" ca="1" si="11"/>
        <v>0.2944677521224851</v>
      </c>
    </row>
    <row r="632" spans="22:23" x14ac:dyDescent="0.25">
      <c r="V632">
        <v>631</v>
      </c>
      <c r="W632" s="28">
        <f t="shared" ca="1" si="11"/>
        <v>0.20619845007666127</v>
      </c>
    </row>
    <row r="633" spans="22:23" x14ac:dyDescent="0.25">
      <c r="V633">
        <v>632</v>
      </c>
      <c r="W633" s="28">
        <f t="shared" ca="1" si="11"/>
        <v>0.9757861680332538</v>
      </c>
    </row>
    <row r="634" spans="22:23" x14ac:dyDescent="0.25">
      <c r="V634">
        <v>633</v>
      </c>
      <c r="W634" s="28">
        <f t="shared" ca="1" si="11"/>
        <v>0.82230219315612807</v>
      </c>
    </row>
    <row r="635" spans="22:23" x14ac:dyDescent="0.25">
      <c r="V635">
        <v>634</v>
      </c>
      <c r="W635" s="28">
        <f t="shared" ca="1" si="11"/>
        <v>4.5757323165039998E-2</v>
      </c>
    </row>
    <row r="636" spans="22:23" x14ac:dyDescent="0.25">
      <c r="V636">
        <v>635</v>
      </c>
      <c r="W636" s="28">
        <f t="shared" ca="1" si="11"/>
        <v>0.49241397521687513</v>
      </c>
    </row>
    <row r="637" spans="22:23" x14ac:dyDescent="0.25">
      <c r="V637">
        <v>636</v>
      </c>
      <c r="W637" s="28">
        <f t="shared" ca="1" si="11"/>
        <v>0.7076452269735708</v>
      </c>
    </row>
    <row r="638" spans="22:23" x14ac:dyDescent="0.25">
      <c r="V638">
        <v>637</v>
      </c>
      <c r="W638" s="28">
        <f t="shared" ca="1" si="11"/>
        <v>1.3974743604853956E-2</v>
      </c>
    </row>
    <row r="639" spans="22:23" x14ac:dyDescent="0.25">
      <c r="V639">
        <v>638</v>
      </c>
      <c r="W639" s="28">
        <f t="shared" ca="1" si="11"/>
        <v>0.25149876685741701</v>
      </c>
    </row>
    <row r="640" spans="22:23" x14ac:dyDescent="0.25">
      <c r="V640">
        <v>639</v>
      </c>
      <c r="W640" s="28">
        <f t="shared" ca="1" si="11"/>
        <v>0.69659442371103986</v>
      </c>
    </row>
    <row r="641" spans="22:23" x14ac:dyDescent="0.25">
      <c r="V641">
        <v>640</v>
      </c>
      <c r="W641" s="28">
        <f t="shared" ca="1" si="11"/>
        <v>0.77710266151177299</v>
      </c>
    </row>
    <row r="642" spans="22:23" x14ac:dyDescent="0.25">
      <c r="V642">
        <v>641</v>
      </c>
      <c r="W642" s="28">
        <f t="shared" ca="1" si="11"/>
        <v>0.73414315978420941</v>
      </c>
    </row>
    <row r="643" spans="22:23" x14ac:dyDescent="0.25">
      <c r="V643">
        <v>642</v>
      </c>
      <c r="W643" s="28">
        <f t="shared" ref="W643:W691" ca="1" si="12">RAND()</f>
        <v>0.2159046195955362</v>
      </c>
    </row>
    <row r="644" spans="22:23" x14ac:dyDescent="0.25">
      <c r="V644">
        <v>643</v>
      </c>
      <c r="W644" s="28">
        <f t="shared" ca="1" si="12"/>
        <v>0.76471215719189334</v>
      </c>
    </row>
    <row r="645" spans="22:23" x14ac:dyDescent="0.25">
      <c r="V645">
        <v>644</v>
      </c>
      <c r="W645" s="28">
        <f t="shared" ca="1" si="12"/>
        <v>0.92784748422223517</v>
      </c>
    </row>
    <row r="646" spans="22:23" x14ac:dyDescent="0.25">
      <c r="V646">
        <v>645</v>
      </c>
      <c r="W646" s="28">
        <f t="shared" ca="1" si="12"/>
        <v>0.4734347516220091</v>
      </c>
    </row>
    <row r="647" spans="22:23" x14ac:dyDescent="0.25">
      <c r="V647">
        <v>646</v>
      </c>
      <c r="W647" s="28">
        <f t="shared" ca="1" si="12"/>
        <v>0.58433326267347241</v>
      </c>
    </row>
    <row r="648" spans="22:23" x14ac:dyDescent="0.25">
      <c r="V648">
        <v>647</v>
      </c>
      <c r="W648" s="28">
        <f t="shared" ca="1" si="12"/>
        <v>0.16220728426719344</v>
      </c>
    </row>
    <row r="649" spans="22:23" x14ac:dyDescent="0.25">
      <c r="V649">
        <v>648</v>
      </c>
      <c r="W649" s="28">
        <f t="shared" ca="1" si="12"/>
        <v>0.5260981720698279</v>
      </c>
    </row>
    <row r="650" spans="22:23" x14ac:dyDescent="0.25">
      <c r="V650">
        <v>649</v>
      </c>
      <c r="W650" s="28">
        <f t="shared" ca="1" si="12"/>
        <v>0.14456431382234047</v>
      </c>
    </row>
    <row r="651" spans="22:23" x14ac:dyDescent="0.25">
      <c r="V651">
        <v>650</v>
      </c>
      <c r="W651" s="28">
        <f t="shared" ca="1" si="12"/>
        <v>0.7865568591975608</v>
      </c>
    </row>
    <row r="652" spans="22:23" x14ac:dyDescent="0.25">
      <c r="V652">
        <v>651</v>
      </c>
      <c r="W652" s="28">
        <f t="shared" ca="1" si="12"/>
        <v>0.13060754113361706</v>
      </c>
    </row>
    <row r="653" spans="22:23" x14ac:dyDescent="0.25">
      <c r="V653">
        <v>652</v>
      </c>
      <c r="W653" s="28">
        <f t="shared" ca="1" si="12"/>
        <v>0.40052563580614386</v>
      </c>
    </row>
    <row r="654" spans="22:23" x14ac:dyDescent="0.25">
      <c r="V654">
        <v>653</v>
      </c>
      <c r="W654" s="28">
        <f t="shared" ca="1" si="12"/>
        <v>0.27800134915272989</v>
      </c>
    </row>
    <row r="655" spans="22:23" x14ac:dyDescent="0.25">
      <c r="V655">
        <v>654</v>
      </c>
      <c r="W655" s="28">
        <f t="shared" ca="1" si="12"/>
        <v>0.82201467762471114</v>
      </c>
    </row>
    <row r="656" spans="22:23" x14ac:dyDescent="0.25">
      <c r="V656">
        <v>655</v>
      </c>
      <c r="W656" s="28">
        <f t="shared" ca="1" si="12"/>
        <v>0.98085338878207862</v>
      </c>
    </row>
    <row r="657" spans="22:23" x14ac:dyDescent="0.25">
      <c r="V657">
        <v>656</v>
      </c>
      <c r="W657" s="28">
        <f t="shared" ca="1" si="12"/>
        <v>0.16262237990380357</v>
      </c>
    </row>
    <row r="658" spans="22:23" x14ac:dyDescent="0.25">
      <c r="V658">
        <v>657</v>
      </c>
      <c r="W658" s="28">
        <f t="shared" ca="1" si="12"/>
        <v>0.48498469285402024</v>
      </c>
    </row>
    <row r="659" spans="22:23" x14ac:dyDescent="0.25">
      <c r="V659">
        <v>658</v>
      </c>
      <c r="W659" s="28">
        <f t="shared" ca="1" si="12"/>
        <v>0.16935818090128396</v>
      </c>
    </row>
    <row r="660" spans="22:23" x14ac:dyDescent="0.25">
      <c r="V660">
        <v>659</v>
      </c>
      <c r="W660" s="28">
        <f t="shared" ca="1" si="12"/>
        <v>0.10942244196237427</v>
      </c>
    </row>
    <row r="661" spans="22:23" x14ac:dyDescent="0.25">
      <c r="V661">
        <v>660</v>
      </c>
      <c r="W661" s="28">
        <f t="shared" ca="1" si="12"/>
        <v>2.3718484898621384E-2</v>
      </c>
    </row>
    <row r="662" spans="22:23" x14ac:dyDescent="0.25">
      <c r="V662">
        <v>661</v>
      </c>
      <c r="W662" s="28">
        <f t="shared" ca="1" si="12"/>
        <v>0.11499968692696605</v>
      </c>
    </row>
    <row r="663" spans="22:23" x14ac:dyDescent="0.25">
      <c r="V663">
        <v>662</v>
      </c>
      <c r="W663" s="28">
        <f t="shared" ca="1" si="12"/>
        <v>0.63017850651566454</v>
      </c>
    </row>
    <row r="664" spans="22:23" x14ac:dyDescent="0.25">
      <c r="V664">
        <v>663</v>
      </c>
      <c r="W664" s="28">
        <f t="shared" ca="1" si="12"/>
        <v>0.59431731109644681</v>
      </c>
    </row>
    <row r="665" spans="22:23" x14ac:dyDescent="0.25">
      <c r="V665">
        <v>664</v>
      </c>
      <c r="W665" s="28">
        <f t="shared" ca="1" si="12"/>
        <v>0.42661783206411008</v>
      </c>
    </row>
    <row r="666" spans="22:23" x14ac:dyDescent="0.25">
      <c r="V666">
        <v>665</v>
      </c>
      <c r="W666" s="28">
        <f t="shared" ca="1" si="12"/>
        <v>0.27377006101519219</v>
      </c>
    </row>
    <row r="667" spans="22:23" x14ac:dyDescent="0.25">
      <c r="V667">
        <v>666</v>
      </c>
      <c r="W667" s="28">
        <f t="shared" ca="1" si="12"/>
        <v>0.57073223823493935</v>
      </c>
    </row>
    <row r="668" spans="22:23" x14ac:dyDescent="0.25">
      <c r="V668">
        <v>667</v>
      </c>
      <c r="W668" s="28">
        <f t="shared" ca="1" si="12"/>
        <v>0.68712338511413396</v>
      </c>
    </row>
    <row r="669" spans="22:23" x14ac:dyDescent="0.25">
      <c r="V669">
        <v>668</v>
      </c>
      <c r="W669" s="28">
        <f t="shared" ca="1" si="12"/>
        <v>0.61339202881821031</v>
      </c>
    </row>
    <row r="670" spans="22:23" x14ac:dyDescent="0.25">
      <c r="V670">
        <v>669</v>
      </c>
      <c r="W670" s="28">
        <f t="shared" ca="1" si="12"/>
        <v>0.59807904111992438</v>
      </c>
    </row>
    <row r="671" spans="22:23" x14ac:dyDescent="0.25">
      <c r="V671">
        <v>670</v>
      </c>
      <c r="W671" s="28">
        <f t="shared" ca="1" si="12"/>
        <v>0.52592138858607518</v>
      </c>
    </row>
    <row r="672" spans="22:23" x14ac:dyDescent="0.25">
      <c r="V672">
        <v>671</v>
      </c>
      <c r="W672" s="28">
        <f t="shared" ca="1" si="12"/>
        <v>0.8628204844977424</v>
      </c>
    </row>
    <row r="673" spans="22:23" x14ac:dyDescent="0.25">
      <c r="V673">
        <v>672</v>
      </c>
      <c r="W673" s="28">
        <f t="shared" ca="1" si="12"/>
        <v>0.54535072906991744</v>
      </c>
    </row>
    <row r="674" spans="22:23" x14ac:dyDescent="0.25">
      <c r="V674">
        <v>673</v>
      </c>
      <c r="W674" s="28">
        <f t="shared" ca="1" si="12"/>
        <v>0.49631278678645652</v>
      </c>
    </row>
    <row r="675" spans="22:23" x14ac:dyDescent="0.25">
      <c r="V675">
        <v>674</v>
      </c>
      <c r="W675" s="28">
        <f t="shared" ca="1" si="12"/>
        <v>0.48409395252928578</v>
      </c>
    </row>
    <row r="676" spans="22:23" x14ac:dyDescent="0.25">
      <c r="V676">
        <v>675</v>
      </c>
      <c r="W676" s="28">
        <f t="shared" ca="1" si="12"/>
        <v>4.5386177106454539E-4</v>
      </c>
    </row>
    <row r="677" spans="22:23" x14ac:dyDescent="0.25">
      <c r="V677">
        <v>676</v>
      </c>
      <c r="W677" s="28">
        <f t="shared" ca="1" si="12"/>
        <v>0.84529684056616616</v>
      </c>
    </row>
    <row r="678" spans="22:23" x14ac:dyDescent="0.25">
      <c r="V678">
        <v>677</v>
      </c>
      <c r="W678" s="28">
        <f t="shared" ca="1" si="12"/>
        <v>7.1226448441788492E-2</v>
      </c>
    </row>
    <row r="679" spans="22:23" x14ac:dyDescent="0.25">
      <c r="V679">
        <v>678</v>
      </c>
      <c r="W679" s="28">
        <f t="shared" ca="1" si="12"/>
        <v>0.54974754378606572</v>
      </c>
    </row>
    <row r="680" spans="22:23" x14ac:dyDescent="0.25">
      <c r="V680">
        <v>679</v>
      </c>
      <c r="W680" s="28">
        <f t="shared" ca="1" si="12"/>
        <v>0.91324185452819728</v>
      </c>
    </row>
    <row r="681" spans="22:23" x14ac:dyDescent="0.25">
      <c r="V681">
        <v>680</v>
      </c>
      <c r="W681" s="28">
        <f t="shared" ca="1" si="12"/>
        <v>0.61454357191279863</v>
      </c>
    </row>
    <row r="682" spans="22:23" x14ac:dyDescent="0.25">
      <c r="V682">
        <v>681</v>
      </c>
      <c r="W682" s="28">
        <f t="shared" ca="1" si="12"/>
        <v>0.61527752415393266</v>
      </c>
    </row>
    <row r="683" spans="22:23" x14ac:dyDescent="0.25">
      <c r="V683">
        <v>682</v>
      </c>
      <c r="W683" s="28">
        <f t="shared" ca="1" si="12"/>
        <v>3.8345067941694899E-2</v>
      </c>
    </row>
    <row r="684" spans="22:23" x14ac:dyDescent="0.25">
      <c r="V684">
        <v>683</v>
      </c>
      <c r="W684" s="28">
        <f t="shared" ca="1" si="12"/>
        <v>0.13375652884876021</v>
      </c>
    </row>
    <row r="685" spans="22:23" x14ac:dyDescent="0.25">
      <c r="V685">
        <v>684</v>
      </c>
      <c r="W685" s="28">
        <f t="shared" ca="1" si="12"/>
        <v>0.39401937111524998</v>
      </c>
    </row>
    <row r="686" spans="22:23" x14ac:dyDescent="0.25">
      <c r="V686">
        <v>685</v>
      </c>
      <c r="W686" s="28">
        <f t="shared" ca="1" si="12"/>
        <v>6.4708008003698358E-2</v>
      </c>
    </row>
    <row r="687" spans="22:23" x14ac:dyDescent="0.25">
      <c r="V687">
        <v>686</v>
      </c>
      <c r="W687" s="28">
        <f t="shared" ca="1" si="12"/>
        <v>0.70257576869181149</v>
      </c>
    </row>
    <row r="688" spans="22:23" x14ac:dyDescent="0.25">
      <c r="V688">
        <v>687</v>
      </c>
      <c r="W688" s="28">
        <f t="shared" ca="1" si="12"/>
        <v>0.28627545545106436</v>
      </c>
    </row>
    <row r="689" spans="22:23" x14ac:dyDescent="0.25">
      <c r="V689">
        <v>688</v>
      </c>
      <c r="W689" s="28">
        <f t="shared" ca="1" si="12"/>
        <v>0.43765558056431786</v>
      </c>
    </row>
    <row r="690" spans="22:23" x14ac:dyDescent="0.25">
      <c r="V690">
        <v>689</v>
      </c>
      <c r="W690" s="28">
        <f t="shared" ca="1" si="12"/>
        <v>0.68812248602385939</v>
      </c>
    </row>
    <row r="691" spans="22:23" x14ac:dyDescent="0.25">
      <c r="V691">
        <v>690</v>
      </c>
      <c r="W691" s="28">
        <f t="shared" ca="1" si="12"/>
        <v>0.81360392325904463</v>
      </c>
    </row>
  </sheetData>
  <mergeCells count="19">
    <mergeCell ref="B2:F2"/>
    <mergeCell ref="B6:C6"/>
    <mergeCell ref="B4:F4"/>
    <mergeCell ref="B9:F9"/>
    <mergeCell ref="B12:C12"/>
    <mergeCell ref="B11:C11"/>
    <mergeCell ref="B7:C7"/>
    <mergeCell ref="B8:C8"/>
    <mergeCell ref="B29:C29"/>
    <mergeCell ref="B30:C30"/>
    <mergeCell ref="E12:G12"/>
    <mergeCell ref="E11:G11"/>
    <mergeCell ref="E29:F29"/>
    <mergeCell ref="E30:F30"/>
    <mergeCell ref="B31:C31"/>
    <mergeCell ref="B32:C32"/>
    <mergeCell ref="E32:F32"/>
    <mergeCell ref="E31:F31"/>
    <mergeCell ref="B35:E35"/>
  </mergeCells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F97EE-2D72-4CD0-9144-713C079F551B}">
  <dimension ref="A2:F71"/>
  <sheetViews>
    <sheetView tabSelected="1" workbookViewId="0">
      <selection activeCell="K27" sqref="K27"/>
    </sheetView>
  </sheetViews>
  <sheetFormatPr defaultRowHeight="15" x14ac:dyDescent="0.25"/>
  <cols>
    <col min="1" max="1" width="7.28515625" bestFit="1" customWidth="1"/>
    <col min="2" max="2" width="12.28515625" bestFit="1" customWidth="1"/>
    <col min="3" max="3" width="15.5703125" bestFit="1" customWidth="1"/>
    <col min="4" max="4" width="9" bestFit="1" customWidth="1"/>
    <col min="5" max="5" width="8.85546875" bestFit="1" customWidth="1"/>
  </cols>
  <sheetData>
    <row r="2" spans="1:6" x14ac:dyDescent="0.25">
      <c r="B2" s="36" t="s">
        <v>91</v>
      </c>
      <c r="C2" s="36"/>
      <c r="D2" s="36"/>
      <c r="E2" s="36"/>
      <c r="F2" s="36"/>
    </row>
    <row r="4" spans="1:6" x14ac:dyDescent="0.25">
      <c r="A4" s="27"/>
      <c r="B4" s="38" t="s">
        <v>100</v>
      </c>
      <c r="C4" s="38"/>
      <c r="D4" s="38"/>
      <c r="E4" s="38"/>
      <c r="F4" s="38"/>
    </row>
    <row r="6" spans="1:6" x14ac:dyDescent="0.25">
      <c r="B6" s="35" t="s">
        <v>70</v>
      </c>
      <c r="C6" s="35"/>
      <c r="D6" s="33">
        <f ca="1">COUNT(B10:B19)</f>
        <v>10</v>
      </c>
      <c r="E6" s="16"/>
    </row>
    <row r="7" spans="1:6" x14ac:dyDescent="0.25">
      <c r="B7" s="35" t="s">
        <v>101</v>
      </c>
      <c r="C7" s="35"/>
      <c r="D7" s="34" t="s">
        <v>102</v>
      </c>
      <c r="F7" s="11"/>
    </row>
    <row r="9" spans="1:6" ht="45" x14ac:dyDescent="0.25">
      <c r="B9" s="31" t="s">
        <v>92</v>
      </c>
      <c r="C9" s="31" t="s">
        <v>94</v>
      </c>
      <c r="D9" s="31" t="s">
        <v>95</v>
      </c>
      <c r="E9" s="31" t="s">
        <v>96</v>
      </c>
      <c r="F9" s="31" t="s">
        <v>97</v>
      </c>
    </row>
    <row r="10" spans="1:6" x14ac:dyDescent="0.25">
      <c r="B10" s="28">
        <f ca="1">RAND()</f>
        <v>0.3591081272996024</v>
      </c>
      <c r="C10">
        <f t="array" aca="1" ref="C10:C19" ca="1">_xlfn._xlws.SORT(B10:B19)</f>
        <v>3.8360319344088234E-2</v>
      </c>
      <c r="D10">
        <v>1</v>
      </c>
      <c r="E10">
        <f ca="1">D10/$D$19 - C10</f>
        <v>6.1639680655911772E-2</v>
      </c>
      <c r="F10">
        <f ca="1">C10 - (D10 - 1)/$D$19</f>
        <v>3.8360319344088234E-2</v>
      </c>
    </row>
    <row r="11" spans="1:6" x14ac:dyDescent="0.25">
      <c r="B11" s="28">
        <f t="shared" ref="B11:B19" ca="1" si="0">RAND()</f>
        <v>0.83173852950098659</v>
      </c>
      <c r="C11">
        <f ca="1"/>
        <v>0.14023645691452902</v>
      </c>
      <c r="D11">
        <v>2</v>
      </c>
      <c r="E11">
        <f t="shared" ref="E11:E19" ca="1" si="1">D11/$D$19 - C11</f>
        <v>5.9763543085470994E-2</v>
      </c>
      <c r="F11">
        <f t="shared" ref="F11:F19" ca="1" si="2">C11 - (D11 - 1)/$D$19</f>
        <v>4.0236456914529012E-2</v>
      </c>
    </row>
    <row r="12" spans="1:6" x14ac:dyDescent="0.25">
      <c r="B12" s="28">
        <f t="shared" ca="1" si="0"/>
        <v>0.19865397434915144</v>
      </c>
      <c r="C12">
        <f ca="1"/>
        <v>0.19865397434915144</v>
      </c>
      <c r="D12">
        <v>3</v>
      </c>
      <c r="E12">
        <f t="shared" ca="1" si="1"/>
        <v>0.10134602565084855</v>
      </c>
      <c r="F12">
        <f t="shared" ca="1" si="2"/>
        <v>-1.3460256508485702E-3</v>
      </c>
    </row>
    <row r="13" spans="1:6" x14ac:dyDescent="0.25">
      <c r="B13" s="28">
        <f t="shared" ca="1" si="0"/>
        <v>0.44035471759468447</v>
      </c>
      <c r="C13">
        <f ca="1"/>
        <v>0.3591081272996024</v>
      </c>
      <c r="D13">
        <v>4</v>
      </c>
      <c r="E13">
        <f t="shared" ca="1" si="1"/>
        <v>4.0891872700397625E-2</v>
      </c>
      <c r="F13">
        <f t="shared" ca="1" si="2"/>
        <v>5.9108127299602409E-2</v>
      </c>
    </row>
    <row r="14" spans="1:6" x14ac:dyDescent="0.25">
      <c r="B14" s="28">
        <f t="shared" ca="1" si="0"/>
        <v>0.7765862678569071</v>
      </c>
      <c r="C14">
        <f ca="1"/>
        <v>0.4184916517068703</v>
      </c>
      <c r="D14">
        <v>5</v>
      </c>
      <c r="E14">
        <f t="shared" ca="1" si="1"/>
        <v>8.1508348293129695E-2</v>
      </c>
      <c r="F14">
        <f t="shared" ca="1" si="2"/>
        <v>1.8491651706870282E-2</v>
      </c>
    </row>
    <row r="15" spans="1:6" x14ac:dyDescent="0.25">
      <c r="B15" s="28">
        <f t="shared" ca="1" si="0"/>
        <v>0.4184916517068703</v>
      </c>
      <c r="C15">
        <f ca="1"/>
        <v>0.44035471759468447</v>
      </c>
      <c r="D15">
        <v>6</v>
      </c>
      <c r="E15">
        <f t="shared" ca="1" si="1"/>
        <v>0.1596452824053155</v>
      </c>
      <c r="F15">
        <f t="shared" ca="1" si="2"/>
        <v>-5.9645282405315525E-2</v>
      </c>
    </row>
    <row r="16" spans="1:6" x14ac:dyDescent="0.25">
      <c r="B16" s="28">
        <f t="shared" ca="1" si="0"/>
        <v>3.8360319344088234E-2</v>
      </c>
      <c r="C16">
        <f ca="1"/>
        <v>0.47495009367577434</v>
      </c>
      <c r="D16">
        <v>7</v>
      </c>
      <c r="E16">
        <f t="shared" ca="1" si="1"/>
        <v>0.22504990632422561</v>
      </c>
      <c r="F16">
        <f t="shared" ca="1" si="2"/>
        <v>-0.12504990632422563</v>
      </c>
    </row>
    <row r="17" spans="1:6" x14ac:dyDescent="0.25">
      <c r="B17" s="28">
        <f t="shared" ca="1" si="0"/>
        <v>0.47495009367577434</v>
      </c>
      <c r="C17">
        <f ca="1"/>
        <v>0.63620243199183324</v>
      </c>
      <c r="D17">
        <v>8</v>
      </c>
      <c r="E17">
        <f t="shared" ca="1" si="1"/>
        <v>0.16379756800816681</v>
      </c>
      <c r="F17">
        <f t="shared" ca="1" si="2"/>
        <v>-6.3797568008166716E-2</v>
      </c>
    </row>
    <row r="18" spans="1:6" x14ac:dyDescent="0.25">
      <c r="B18" s="28">
        <f t="shared" ca="1" si="0"/>
        <v>0.63620243199183324</v>
      </c>
      <c r="C18">
        <f ca="1"/>
        <v>0.7765862678569071</v>
      </c>
      <c r="D18">
        <v>9</v>
      </c>
      <c r="E18">
        <f t="shared" ca="1" si="1"/>
        <v>0.12341373214309292</v>
      </c>
      <c r="F18">
        <f t="shared" ca="1" si="2"/>
        <v>-2.3413732143092947E-2</v>
      </c>
    </row>
    <row r="19" spans="1:6" x14ac:dyDescent="0.25">
      <c r="B19" s="28">
        <f t="shared" ca="1" si="0"/>
        <v>0.14023645691452902</v>
      </c>
      <c r="C19">
        <f ca="1"/>
        <v>0.83173852950098659</v>
      </c>
      <c r="D19">
        <v>10</v>
      </c>
      <c r="E19">
        <f t="shared" ca="1" si="1"/>
        <v>0.16826147049901341</v>
      </c>
      <c r="F19">
        <f t="shared" ca="1" si="2"/>
        <v>-6.8261470499013432E-2</v>
      </c>
    </row>
    <row r="21" spans="1:6" x14ac:dyDescent="0.25">
      <c r="B21" t="s">
        <v>81</v>
      </c>
    </row>
    <row r="22" spans="1:6" x14ac:dyDescent="0.25">
      <c r="B22" s="35" t="s">
        <v>93</v>
      </c>
      <c r="C22" s="35"/>
      <c r="D22" s="20">
        <f ca="1">MAX(E10:E19)</f>
        <v>0.22504990632422561</v>
      </c>
      <c r="E22" s="35" t="str">
        <f ca="1">_xlfn.FORMULATEXT(D22)</f>
        <v>=MAX(E10:E19)</v>
      </c>
      <c r="F22" s="35"/>
    </row>
    <row r="23" spans="1:6" x14ac:dyDescent="0.25">
      <c r="B23" s="35" t="s">
        <v>98</v>
      </c>
      <c r="C23" s="35"/>
      <c r="D23" s="20">
        <f ca="1">MAX(F10:F19)</f>
        <v>5.9108127299602409E-2</v>
      </c>
      <c r="E23" s="35" t="str">
        <f t="shared" ref="E23:E24" ca="1" si="3">_xlfn.FORMULATEXT(D23)</f>
        <v>=MAX(F10:F19)</v>
      </c>
      <c r="F23" s="35"/>
    </row>
    <row r="24" spans="1:6" x14ac:dyDescent="0.25">
      <c r="B24" s="35" t="s">
        <v>99</v>
      </c>
      <c r="C24" s="35"/>
      <c r="D24" s="20">
        <f ca="1">MAX(D22,D23)</f>
        <v>0.22504990632422561</v>
      </c>
      <c r="E24" s="35" t="str">
        <f t="shared" ca="1" si="3"/>
        <v>=MAX(D22,D23)</v>
      </c>
      <c r="F24" s="35"/>
    </row>
    <row r="25" spans="1:6" x14ac:dyDescent="0.25">
      <c r="B25" s="35" t="s">
        <v>89</v>
      </c>
      <c r="C25" s="35"/>
      <c r="D25" s="20">
        <v>0.24199999999999999</v>
      </c>
      <c r="E25" s="35" t="s">
        <v>103</v>
      </c>
      <c r="F25" s="35"/>
    </row>
    <row r="29" spans="1:6" x14ac:dyDescent="0.25">
      <c r="B29" t="s">
        <v>90</v>
      </c>
    </row>
    <row r="30" spans="1:6" x14ac:dyDescent="0.25">
      <c r="B30" s="36" t="str">
        <f ca="1">IF(D24&lt;D25, _xlfn.TEXTJOIN(,FALSE, _xlfn.VALUETOTEXT(B24), " &lt; ", _xlfn.VALUETOTEXT(B25), " : Accepted"), _xlfn.TEXTJOIN(,FALSE, _xlfn.VALUETOTEXT(B24), " &gt;= ", _xlfn.VALUETOTEXT(B25), " : Rejected"))</f>
        <v>D &lt; Critical Value : Accepted</v>
      </c>
      <c r="C30" s="36"/>
      <c r="D30" s="36"/>
      <c r="E30" s="36"/>
    </row>
    <row r="32" spans="1:6" x14ac:dyDescent="0.25">
      <c r="A32" s="58"/>
      <c r="B32" s="58"/>
      <c r="C32" s="58"/>
      <c r="D32" s="59"/>
      <c r="E32" s="60"/>
    </row>
    <row r="33" spans="1:5" x14ac:dyDescent="0.25">
      <c r="A33" s="58"/>
      <c r="B33" s="58"/>
      <c r="C33" s="58"/>
      <c r="D33" s="59"/>
      <c r="E33" s="60"/>
    </row>
    <row r="34" spans="1:5" x14ac:dyDescent="0.25">
      <c r="A34" s="58"/>
      <c r="B34" s="58"/>
      <c r="C34" s="58"/>
      <c r="D34" s="59"/>
      <c r="E34" s="60"/>
    </row>
    <row r="35" spans="1:5" x14ac:dyDescent="0.25">
      <c r="A35" s="58"/>
      <c r="B35" s="58"/>
      <c r="C35" s="58"/>
      <c r="D35" s="59"/>
      <c r="E35" s="60"/>
    </row>
    <row r="36" spans="1:5" x14ac:dyDescent="0.25">
      <c r="A36" s="58"/>
      <c r="B36" s="58"/>
      <c r="C36" s="58"/>
      <c r="D36" s="59"/>
      <c r="E36" s="60"/>
    </row>
    <row r="37" spans="1:5" x14ac:dyDescent="0.25">
      <c r="A37" s="58"/>
      <c r="B37" s="58"/>
      <c r="C37" s="58"/>
      <c r="D37" s="59"/>
      <c r="E37" s="60"/>
    </row>
    <row r="38" spans="1:5" x14ac:dyDescent="0.25">
      <c r="A38" s="58"/>
      <c r="B38" s="58"/>
      <c r="C38" s="58"/>
      <c r="D38" s="59"/>
      <c r="E38" s="60"/>
    </row>
    <row r="39" spans="1:5" x14ac:dyDescent="0.25">
      <c r="A39" s="58"/>
      <c r="B39" s="58"/>
      <c r="C39" s="58"/>
      <c r="D39" s="59"/>
      <c r="E39" s="60"/>
    </row>
    <row r="40" spans="1:5" x14ac:dyDescent="0.25">
      <c r="A40" s="58"/>
      <c r="B40" s="58"/>
      <c r="C40" s="58"/>
      <c r="D40" s="59"/>
      <c r="E40" s="60"/>
    </row>
    <row r="41" spans="1:5" x14ac:dyDescent="0.25">
      <c r="A41" s="58"/>
      <c r="B41" s="58"/>
      <c r="C41" s="58"/>
      <c r="D41" s="59"/>
      <c r="E41" s="60"/>
    </row>
    <row r="42" spans="1:5" x14ac:dyDescent="0.25">
      <c r="A42" s="58"/>
      <c r="B42" s="58"/>
      <c r="C42" s="58"/>
      <c r="D42" s="59"/>
      <c r="E42" s="60"/>
    </row>
    <row r="43" spans="1:5" x14ac:dyDescent="0.25">
      <c r="A43" s="58"/>
      <c r="B43" s="58"/>
      <c r="C43" s="58"/>
      <c r="D43" s="59"/>
      <c r="E43" s="60"/>
    </row>
    <row r="44" spans="1:5" x14ac:dyDescent="0.25">
      <c r="A44" s="58"/>
      <c r="B44" s="58"/>
      <c r="C44" s="58"/>
      <c r="D44" s="59"/>
      <c r="E44" s="60"/>
    </row>
    <row r="45" spans="1:5" x14ac:dyDescent="0.25">
      <c r="A45" s="58"/>
      <c r="B45" s="58"/>
      <c r="C45" s="58"/>
      <c r="D45" s="59"/>
      <c r="E45" s="60"/>
    </row>
    <row r="46" spans="1:5" x14ac:dyDescent="0.25">
      <c r="A46" s="58"/>
      <c r="B46" s="58"/>
      <c r="C46" s="58"/>
      <c r="D46" s="59"/>
      <c r="E46" s="60"/>
    </row>
    <row r="47" spans="1:5" x14ac:dyDescent="0.25">
      <c r="A47" s="58"/>
      <c r="B47" s="58"/>
      <c r="C47" s="58"/>
      <c r="D47" s="59"/>
      <c r="E47" s="60"/>
    </row>
    <row r="48" spans="1:5" x14ac:dyDescent="0.25">
      <c r="A48" s="58"/>
      <c r="B48" s="58"/>
      <c r="C48" s="58"/>
      <c r="D48" s="59"/>
      <c r="E48" s="60"/>
    </row>
    <row r="49" spans="1:5" x14ac:dyDescent="0.25">
      <c r="A49" s="58"/>
      <c r="B49" s="58"/>
      <c r="C49" s="58"/>
      <c r="D49" s="59"/>
      <c r="E49" s="60"/>
    </row>
    <row r="50" spans="1:5" x14ac:dyDescent="0.25">
      <c r="A50" s="58"/>
      <c r="B50" s="58"/>
      <c r="C50" s="58"/>
      <c r="D50" s="59"/>
      <c r="E50" s="60"/>
    </row>
    <row r="51" spans="1:5" x14ac:dyDescent="0.25">
      <c r="A51" s="58"/>
      <c r="B51" s="58"/>
      <c r="C51" s="58"/>
      <c r="D51" s="59"/>
      <c r="E51" s="60"/>
    </row>
    <row r="52" spans="1:5" x14ac:dyDescent="0.25">
      <c r="A52" s="58"/>
      <c r="B52" s="58"/>
      <c r="C52" s="58"/>
      <c r="D52" s="59"/>
      <c r="E52" s="60"/>
    </row>
    <row r="53" spans="1:5" x14ac:dyDescent="0.25">
      <c r="A53" s="58"/>
      <c r="B53" s="58"/>
      <c r="C53" s="58"/>
      <c r="D53" s="59"/>
      <c r="E53" s="60"/>
    </row>
    <row r="54" spans="1:5" x14ac:dyDescent="0.25">
      <c r="A54" s="58"/>
      <c r="B54" s="58"/>
      <c r="C54" s="58"/>
      <c r="D54" s="59"/>
      <c r="E54" s="60"/>
    </row>
    <row r="55" spans="1:5" x14ac:dyDescent="0.25">
      <c r="A55" s="58"/>
      <c r="B55" s="58"/>
      <c r="C55" s="58"/>
      <c r="D55" s="59"/>
      <c r="E55" s="60"/>
    </row>
    <row r="56" spans="1:5" x14ac:dyDescent="0.25">
      <c r="A56" s="58"/>
      <c r="B56" s="58"/>
      <c r="C56" s="58"/>
      <c r="D56" s="59"/>
      <c r="E56" s="60"/>
    </row>
    <row r="57" spans="1:5" x14ac:dyDescent="0.25">
      <c r="A57" s="58"/>
      <c r="B57" s="58"/>
      <c r="C57" s="58"/>
      <c r="D57" s="59"/>
      <c r="E57" s="60"/>
    </row>
    <row r="58" spans="1:5" x14ac:dyDescent="0.25">
      <c r="A58" s="58"/>
      <c r="B58" s="58"/>
      <c r="C58" s="58"/>
      <c r="D58" s="59"/>
      <c r="E58" s="60"/>
    </row>
    <row r="59" spans="1:5" x14ac:dyDescent="0.25">
      <c r="A59" s="58"/>
      <c r="B59" s="58"/>
      <c r="C59" s="58"/>
      <c r="D59" s="59"/>
      <c r="E59" s="60"/>
    </row>
    <row r="60" spans="1:5" x14ac:dyDescent="0.25">
      <c r="A60" s="58"/>
      <c r="B60" s="58"/>
      <c r="C60" s="58"/>
      <c r="D60" s="59"/>
      <c r="E60" s="60"/>
    </row>
    <row r="61" spans="1:5" x14ac:dyDescent="0.25">
      <c r="A61" s="58"/>
      <c r="B61" s="58"/>
      <c r="C61" s="58"/>
      <c r="D61" s="59"/>
      <c r="E61" s="60"/>
    </row>
    <row r="62" spans="1:5" x14ac:dyDescent="0.25">
      <c r="A62" s="58"/>
      <c r="B62" s="58"/>
      <c r="C62" s="58"/>
      <c r="D62" s="59"/>
      <c r="E62" s="60"/>
    </row>
    <row r="63" spans="1:5" x14ac:dyDescent="0.25">
      <c r="A63" s="58"/>
      <c r="B63" s="58"/>
      <c r="C63" s="58"/>
      <c r="D63" s="59"/>
      <c r="E63" s="60"/>
    </row>
    <row r="64" spans="1:5" x14ac:dyDescent="0.25">
      <c r="A64" s="58"/>
      <c r="B64" s="58"/>
      <c r="C64" s="58"/>
      <c r="D64" s="59"/>
      <c r="E64" s="60"/>
    </row>
    <row r="65" spans="1:5" x14ac:dyDescent="0.25">
      <c r="A65" s="58"/>
      <c r="B65" s="58"/>
      <c r="C65" s="58"/>
      <c r="D65" s="59"/>
      <c r="E65" s="60"/>
    </row>
    <row r="66" spans="1:5" x14ac:dyDescent="0.25">
      <c r="A66" s="58"/>
      <c r="B66" s="58"/>
      <c r="C66" s="58"/>
      <c r="D66" s="59"/>
      <c r="E66" s="60"/>
    </row>
    <row r="67" spans="1:5" x14ac:dyDescent="0.25">
      <c r="A67" s="58"/>
      <c r="B67" s="58"/>
      <c r="C67" s="58"/>
      <c r="D67" s="59"/>
      <c r="E67" s="60"/>
    </row>
    <row r="68" spans="1:5" x14ac:dyDescent="0.25">
      <c r="A68" s="58"/>
      <c r="B68" s="58"/>
      <c r="C68" s="58"/>
      <c r="D68" s="59"/>
      <c r="E68" s="60"/>
    </row>
    <row r="69" spans="1:5" x14ac:dyDescent="0.25">
      <c r="A69" s="58"/>
      <c r="B69" s="58"/>
      <c r="C69" s="58"/>
      <c r="D69" s="59"/>
      <c r="E69" s="60"/>
    </row>
    <row r="70" spans="1:5" x14ac:dyDescent="0.25">
      <c r="A70" s="58"/>
      <c r="B70" s="58"/>
      <c r="C70" s="58"/>
      <c r="D70" s="59"/>
      <c r="E70" s="60"/>
    </row>
    <row r="71" spans="1:5" x14ac:dyDescent="0.25">
      <c r="A71" s="58"/>
      <c r="B71" s="58"/>
      <c r="C71" s="58"/>
      <c r="D71" s="59"/>
      <c r="E71" s="60"/>
    </row>
  </sheetData>
  <mergeCells count="13">
    <mergeCell ref="B30:E30"/>
    <mergeCell ref="B22:C22"/>
    <mergeCell ref="E22:F22"/>
    <mergeCell ref="B23:C23"/>
    <mergeCell ref="E23:F23"/>
    <mergeCell ref="B24:C24"/>
    <mergeCell ref="E24:F24"/>
    <mergeCell ref="B25:C25"/>
    <mergeCell ref="E25:F25"/>
    <mergeCell ref="B2:F2"/>
    <mergeCell ref="B4:F4"/>
    <mergeCell ref="B6:C6"/>
    <mergeCell ref="B7:C7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Q2-Dice</vt:lpstr>
      <vt:lpstr>Q3-SingleServerQueueSim</vt:lpstr>
      <vt:lpstr>Q6-MonteCarloSim</vt:lpstr>
      <vt:lpstr>Q7-ChiSquareTest</vt:lpstr>
      <vt:lpstr>Q8-KolmogorovSmirnovTest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oNebula</dc:creator>
  <cp:lastModifiedBy>Surab Parajuli</cp:lastModifiedBy>
  <dcterms:created xsi:type="dcterms:W3CDTF">2015-06-05T18:17:20Z</dcterms:created>
  <dcterms:modified xsi:type="dcterms:W3CDTF">2026-04-04T09:26:07Z</dcterms:modified>
</cp:coreProperties>
</file>