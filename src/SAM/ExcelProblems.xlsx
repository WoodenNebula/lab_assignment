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Arch\home\oNebula\Dev\lab_assignment\src\SAM\"/>
    </mc:Choice>
  </mc:AlternateContent>
  <xr:revisionPtr revIDLastSave="0" documentId="13_ncr:1_{99EFB48A-D33B-4C39-9054-8CCC52658A50}" xr6:coauthVersionLast="47" xr6:coauthVersionMax="47" xr10:uidLastSave="{00000000-0000-0000-0000-000000000000}"/>
  <bookViews>
    <workbookView xWindow="-120" yWindow="-120" windowWidth="38640" windowHeight="21840" activeTab="1" xr2:uid="{00000000-000D-0000-FFFF-FFFF00000000}"/>
  </bookViews>
  <sheets>
    <sheet name="Q2-Dice" sheetId="1" r:id="rId1"/>
    <sheet name="Q3-SingleServerQueueSim" sheetId="2" r:id="rId2"/>
    <sheet name="Q6-MonteCarloSim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" l="1"/>
  <c r="J25" i="2"/>
  <c r="J26" i="2"/>
  <c r="J27" i="2"/>
  <c r="J28" i="2"/>
  <c r="J29" i="2"/>
  <c r="J30" i="2"/>
  <c r="D26" i="2"/>
  <c r="D27" i="2"/>
  <c r="D28" i="2"/>
  <c r="D29" i="2"/>
  <c r="D30" i="2"/>
  <c r="J13" i="2"/>
  <c r="L13" i="2" s="1"/>
  <c r="J14" i="2"/>
  <c r="L14" i="2" s="1"/>
  <c r="J15" i="2"/>
  <c r="L15" i="2" s="1"/>
  <c r="J16" i="2"/>
  <c r="L16" i="2" s="1"/>
  <c r="J17" i="2"/>
  <c r="L17" i="2" s="1"/>
  <c r="J18" i="2"/>
  <c r="C13" i="2"/>
  <c r="D13" i="2" s="1"/>
  <c r="F13" i="2" s="1"/>
  <c r="C14" i="2"/>
  <c r="C15" i="2"/>
  <c r="C16" i="2"/>
  <c r="C17" i="2"/>
  <c r="C18" i="2"/>
  <c r="C19" i="2"/>
  <c r="C20" i="2"/>
  <c r="C6" i="1"/>
  <c r="D6" i="1"/>
  <c r="E6" i="1"/>
  <c r="C7" i="1"/>
  <c r="D7" i="1"/>
  <c r="E7" i="1"/>
  <c r="C8" i="1"/>
  <c r="D8" i="1"/>
  <c r="E8" i="1"/>
  <c r="C9" i="1"/>
  <c r="D9" i="1"/>
  <c r="E9" i="1"/>
  <c r="D5" i="1"/>
  <c r="E5" i="1"/>
  <c r="C5" i="1"/>
  <c r="K14" i="2" l="1"/>
  <c r="E14" i="2"/>
  <c r="D15" i="2"/>
  <c r="F15" i="2" s="1"/>
  <c r="E16" i="2" s="1"/>
  <c r="E26" i="2" s="1"/>
  <c r="D20" i="2"/>
  <c r="D19" i="2"/>
  <c r="F19" i="2" s="1"/>
  <c r="E20" i="2" s="1"/>
  <c r="D18" i="2"/>
  <c r="F18" i="2" s="1"/>
  <c r="E19" i="2" s="1"/>
  <c r="D17" i="2"/>
  <c r="F17" i="2" s="1"/>
  <c r="E18" i="2" s="1"/>
  <c r="E30" i="2" s="1"/>
  <c r="D16" i="2"/>
  <c r="F16" i="2" s="1"/>
  <c r="E17" i="2" s="1"/>
  <c r="D14" i="2"/>
  <c r="F14" i="2" s="1"/>
  <c r="E15" i="2" s="1"/>
  <c r="C41" i="2" l="1"/>
  <c r="C37" i="2"/>
  <c r="E29" i="2"/>
  <c r="E27" i="2"/>
  <c r="E28" i="2"/>
  <c r="K17" i="2"/>
  <c r="K16" i="2"/>
  <c r="K15" i="2"/>
  <c r="K18" i="2"/>
  <c r="D37" i="2" l="1"/>
  <c r="C39" i="2"/>
  <c r="C38" i="2"/>
  <c r="C40" i="2"/>
  <c r="K26" i="2"/>
  <c r="E37" i="2" s="1"/>
  <c r="K30" i="2"/>
  <c r="E41" i="2" s="1"/>
  <c r="K28" i="2"/>
  <c r="E39" i="2" s="1"/>
  <c r="K29" i="2"/>
  <c r="E40" i="2" s="1"/>
  <c r="K27" i="2"/>
  <c r="E38" i="2" s="1"/>
  <c r="K25" i="2"/>
  <c r="E36" i="2" s="1"/>
  <c r="H36" i="2" l="1"/>
  <c r="I36" i="2"/>
  <c r="E42" i="2"/>
  <c r="D38" i="2"/>
  <c r="D39" i="2" s="1"/>
  <c r="C42" i="2"/>
  <c r="E60" i="2" s="1"/>
  <c r="F37" i="2" l="1"/>
  <c r="J37" i="2" s="1"/>
  <c r="D40" i="2"/>
  <c r="G37" i="2" l="1"/>
  <c r="H37" i="2"/>
  <c r="D41" i="2"/>
  <c r="D42" i="2" s="1"/>
  <c r="F38" i="2" l="1"/>
  <c r="G38" i="2" s="1"/>
  <c r="I38" i="2" s="1"/>
  <c r="I37" i="2"/>
  <c r="J38" i="2" l="1"/>
  <c r="H38" i="2"/>
  <c r="F39" i="2" s="1"/>
  <c r="J39" i="2" s="1"/>
  <c r="H39" i="2" l="1"/>
  <c r="F40" i="2" s="1"/>
  <c r="G40" i="2" s="1"/>
  <c r="I40" i="2" s="1"/>
  <c r="G39" i="2"/>
  <c r="I39" i="2" l="1"/>
  <c r="H40" i="2"/>
  <c r="F41" i="2" s="1"/>
  <c r="J41" i="2" s="1"/>
  <c r="J40" i="2"/>
  <c r="J42" i="2" l="1"/>
  <c r="E68" i="2" s="1"/>
  <c r="H41" i="2"/>
  <c r="G41" i="2"/>
  <c r="E57" i="2" l="1"/>
  <c r="E54" i="2"/>
  <c r="E51" i="2"/>
  <c r="I41" i="2"/>
  <c r="I42" i="2" s="1"/>
  <c r="E63" i="2" s="1"/>
  <c r="G42" i="2"/>
  <c r="E47" i="2" l="1"/>
</calcChain>
</file>

<file path=xl/sharedStrings.xml><?xml version="1.0" encoding="utf-8"?>
<sst xmlns="http://schemas.openxmlformats.org/spreadsheetml/2006/main" count="69" uniqueCount="54">
  <si>
    <t>Simulate a game of dice that generates discrete random variate using random number generation</t>
  </si>
  <si>
    <t>Player</t>
  </si>
  <si>
    <t>Iteration</t>
  </si>
  <si>
    <t>A</t>
  </si>
  <si>
    <t>B</t>
  </si>
  <si>
    <t>C</t>
  </si>
  <si>
    <t>Simulate a performance evaluation of single server queuing system.</t>
  </si>
  <si>
    <t>Service Time(min)</t>
  </si>
  <si>
    <t>Probability</t>
  </si>
  <si>
    <t>RandomDigits(For Arrival)</t>
  </si>
  <si>
    <t>RandomDigits(For Service)</t>
  </si>
  <si>
    <t>-</t>
  </si>
  <si>
    <t>Arrival Time Distribution</t>
  </si>
  <si>
    <t>Customer</t>
  </si>
  <si>
    <t>Assuming the following scenario for a single server queuing system for simulation of  6 customer, with inter arrival time from 1-6 mins</t>
  </si>
  <si>
    <t>Inter-Arrival Time</t>
  </si>
  <si>
    <t>Probability Of Event</t>
  </si>
  <si>
    <t>Cumulative Probability</t>
  </si>
  <si>
    <t>Random Digit FROM</t>
  </si>
  <si>
    <t>Random Digit  TO</t>
  </si>
  <si>
    <t>Total</t>
  </si>
  <si>
    <t>Service Time Distribution</t>
  </si>
  <si>
    <t>Service Time</t>
  </si>
  <si>
    <t>RandomDigit</t>
  </si>
  <si>
    <t>Arrival Time Assignment</t>
  </si>
  <si>
    <t>Selected Arrival Time</t>
  </si>
  <si>
    <t>Service Time Assignment</t>
  </si>
  <si>
    <t>Selected Service Time</t>
  </si>
  <si>
    <t>Simulation Table</t>
  </si>
  <si>
    <t>IAT</t>
  </si>
  <si>
    <t>ServiceTime</t>
  </si>
  <si>
    <t>Arrival  Time</t>
  </si>
  <si>
    <t>Service Time Start</t>
  </si>
  <si>
    <t>Service Time End</t>
  </si>
  <si>
    <t>Waiting Time</t>
  </si>
  <si>
    <t>Time In System</t>
  </si>
  <si>
    <t>Server Idle Time</t>
  </si>
  <si>
    <t>Total Time In Queue/ Total No. of Customer</t>
  </si>
  <si>
    <t>No. of Customer In Queue/ Total No. of Customer</t>
  </si>
  <si>
    <t>Total Idle Server Time/ Last Service Time End</t>
  </si>
  <si>
    <t>Total Service Time / Total No. of Customer</t>
  </si>
  <si>
    <t>Total IAT / Total No. of Customer - 1</t>
  </si>
  <si>
    <t>Total System Time / Total No. of Customer</t>
  </si>
  <si>
    <t xml:space="preserve">Avg SystemTime = </t>
  </si>
  <si>
    <t xml:space="preserve"> = </t>
  </si>
  <si>
    <t xml:space="preserve">Probability(CustomerInQueue) = </t>
  </si>
  <si>
    <t xml:space="preserve">Probability(ServerIdle) = </t>
  </si>
  <si>
    <t xml:space="preserve">Avg Service Time = </t>
  </si>
  <si>
    <t xml:space="preserve">Average Waiting Time of a Customer = </t>
  </si>
  <si>
    <t xml:space="preserve">Avg IAT = </t>
  </si>
  <si>
    <t xml:space="preserve">ServerUtilization = </t>
  </si>
  <si>
    <t>Avg Arrival Rate / Avg Service Rate</t>
  </si>
  <si>
    <t>Total Busy Time / Total Time</t>
  </si>
  <si>
    <t>Total Service Time / (Total Service Time + Total Idle Time)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</si>
</sst>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/>
    <xf numFmtId="0" fontId="0" fillId="0" borderId="10" xfId="0" applyBorder="1"/>
    <xf numFmtId="0" fontId="0" fillId="0" borderId="8" xfId="0" applyBorder="1"/>
    <xf numFmtId="0" fontId="0" fillId="0" borderId="14" xfId="0" applyBorder="1"/>
    <xf numFmtId="0" fontId="0" fillId="0" borderId="0" xfId="0" applyBorder="1"/>
    <xf numFmtId="0" fontId="0" fillId="0" borderId="9" xfId="0" applyBorder="1"/>
    <xf numFmtId="0" fontId="0" fillId="0" borderId="15" xfId="0" applyBorder="1"/>
    <xf numFmtId="0" fontId="0" fillId="0" borderId="11" xfId="0" applyBorder="1"/>
    <xf numFmtId="0" fontId="0" fillId="0" borderId="12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NumberFormat="1"/>
    <xf numFmtId="0" fontId="0" fillId="0" borderId="0" xfId="0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0" borderId="0" xfId="0" applyFont="1"/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2548FB-77A1-4442-9507-0E41C8E2633A}" name="ArrivalDistribution" displayName="ArrivalDistribution" ref="B12:F20" headerRowDxfId="19">
  <autoFilter ref="B12:F20" xr:uid="{AD2548FB-77A1-4442-9507-0E41C8E2633A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FBBD3DD-AD51-4B76-9573-6A3653330401}" name="Inter-Arrival Time" totalsRowLabel="Total"/>
    <tableColumn id="2" xr3:uid="{E1DD57E6-B443-4AD3-A37E-2FB13DBAFC5A}" name="Probability Of Event" dataDxfId="21">
      <calculatedColumnFormula>1/$B$20</calculatedColumnFormula>
    </tableColumn>
    <tableColumn id="3" xr3:uid="{ED48B9B9-BC4A-446B-94F7-0E71B3034FD0}" name="Cumulative Probability" dataDxfId="20">
      <calculatedColumnFormula>SUM($C$13:C13)</calculatedColumnFormula>
    </tableColumn>
    <tableColumn id="4" xr3:uid="{542910B0-0332-4360-924C-804BEB3B1E32}" name="Random Digit FROM"/>
    <tableColumn id="8" xr3:uid="{4E2D4833-1FF7-403E-9F19-CD189054789A}" name="Random Digit  TO" totalsRowFunction="sum" dataDxfId="18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768A08-7215-4E88-9293-EE76DAAE9A03}" name="ServiceDistribution3" displayName="ServiceDistribution3" ref="H12:L18" headerRowDxfId="17">
  <autoFilter ref="H12:L18" xr:uid="{C4768A08-7215-4E88-9293-EE76DAAE9A0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5489C78-FBC2-4720-859A-12CFD7F10502}" name="Service Time" totalsRowLabel="Total"/>
    <tableColumn id="2" xr3:uid="{5818BB43-7B90-4BB4-A0B6-FD46856EF4E7}" name="Probability" dataDxfId="16">
      <calculatedColumnFormula>1/$B$20</calculatedColumnFormula>
    </tableColumn>
    <tableColumn id="3" xr3:uid="{F4472E50-FB90-4E2D-9F41-459D2C479C88}" name="Cumulative Probability" dataDxfId="14">
      <calculatedColumnFormula>SUM($I$13:I13)</calculatedColumnFormula>
    </tableColumn>
    <tableColumn id="4" xr3:uid="{EF65E276-129D-4E22-B8B9-2709AFEE8FDB}" name="Random Digit FROM"/>
    <tableColumn id="8" xr3:uid="{4C11E7DC-A66F-4456-AB41-CE8B14D516F5}" name="Random Digit  TO" totalsRowFunction="sum" dataDxfId="15">
      <calculatedColumnFormula>ServiceDistribution3[[#This Row],[Cumulative Probability]]*100</calculatedColumnFormula>
    </tableColumn>
  </tableColumns>
  <tableStyleInfo name="TableStyleDark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EBEF57-047E-4824-93E1-0BD892F51023}" name="ArrivalAssignment" displayName="ArrivalAssignment" ref="C24:E30" headerRowDxfId="13">
  <autoFilter ref="C24:E30" xr:uid="{C6EBEF57-047E-4824-93E1-0BD892F51023}">
    <filterColumn colId="0" hiddenButton="1"/>
    <filterColumn colId="1" hiddenButton="1"/>
    <filterColumn colId="2" hiddenButton="1"/>
  </autoFilter>
  <tableColumns count="3">
    <tableColumn id="1" xr3:uid="{AEC1363A-2249-4CD6-8CF3-111552075119}" name="Customer" totalsRowLabel="Total"/>
    <tableColumn id="2" xr3:uid="{CF0977D3-C63F-4EB8-84AC-0A2511298C5C}" name="RandomDigit" dataDxfId="12">
      <calculatedColumnFormula>RANDBETWEEN($E$13,$F$20)</calculatedColumnFormula>
    </tableColumn>
    <tableColumn id="3" xr3:uid="{EEC12E9E-BFA9-4CDC-8BAF-5F94B2482D9E}" name="Selected Arrival Time" dataDxfId="11">
      <calculatedColumnFormula>INDEX(ArrivalDistribution[Inter-Arrival Time], MATCH(ArrivalAssignment[[#This Row],[RandomDigit]], ArrivalDistribution[Random Digit FROM], 1))</calculatedColumnFormula>
    </tableColumn>
  </tableColumns>
  <tableStyleInfo name="TableStyleDark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0AE06-C807-468E-879C-2DDA415A8B12}" name="ServiceTimeAssignment" displayName="ServiceTimeAssignment" ref="I24:K30" headerRowDxfId="10">
  <autoFilter ref="I24:K30" xr:uid="{64B0AE06-C807-468E-879C-2DDA415A8B12}">
    <filterColumn colId="0" hiddenButton="1"/>
    <filterColumn colId="1" hiddenButton="1"/>
    <filterColumn colId="2" hiddenButton="1"/>
  </autoFilter>
  <tableColumns count="3">
    <tableColumn id="1" xr3:uid="{CDCAE117-68AF-4D40-81B0-3B0419B46AA8}" name="Customer" totalsRowLabel="Total"/>
    <tableColumn id="2" xr3:uid="{1C15C076-90A7-4EDE-BADD-E035686855D5}" name="RandomDigit" dataDxfId="9">
      <calculatedColumnFormula>RANDBETWEEN($K$13,$L$18)</calculatedColumnFormula>
    </tableColumn>
    <tableColumn id="3" xr3:uid="{FCA0A939-E5DF-4BE0-8078-DD4D8D4B614F}" name="Selected Service Time" dataDxfId="8">
      <calculatedColumnFormula>INDEX(ServiceDistribution3[Service Time], MATCH(ServiceTimeAssignment[[#This Row],[RandomDigit]], ServiceDistribution3[Random Digit FROM], 1))</calculatedColumnFormula>
    </tableColumn>
  </tableColumns>
  <tableStyleInfo name="TableStyleDark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3B7660-91A8-45AF-A6CB-F379242ACD4B}" name="SimulationTable" displayName="SimulationTable" ref="B35:J42" totalsRowCount="1" headerRowDxfId="7">
  <autoFilter ref="B35:J41" xr:uid="{DD3B7660-91A8-45AF-A6CB-F379242ACD4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DFED37-11BA-483F-9F3A-E828E7208DC1}" name="Customer" totalsRowLabel="Total"/>
    <tableColumn id="2" xr3:uid="{B8DC93A9-236B-4F36-B5A4-97D9D2DF0B9E}" name="IAT" totalsRowFunction="custom" dataDxfId="6">
      <calculatedColumnFormula>INDEX(ArrivalAssignment[Selected Arrival Time], MATCH(SimulationTable[[#This Row],[Customer]], ArrivalAssignment[Customer],0))</calculatedColumnFormula>
      <totalsRowFormula>SUBTOTAL(9, SimulationTable[IAT])</totalsRowFormula>
    </tableColumn>
    <tableColumn id="3" xr3:uid="{4AAA0B42-470F-48AF-B54E-64A3295BA350}" name="Arrival  Time" totalsRowFunction="custom" dataDxfId="5">
      <calculatedColumnFormula>SUM($C$13:C36)</calculatedColumnFormula>
      <totalsRowFormula>SUBTOTAL(9, SimulationTable[Arrival  Time])</totalsRowFormula>
    </tableColumn>
    <tableColumn id="4" xr3:uid="{9F9624DB-17BB-4B95-AF0A-5526F46B7C16}" name="ServiceTime" totalsRowFunction="custom">
      <totalsRowFormula>SUBTOTAL(9, SimulationTable[ServiceTime])</totalsRowFormula>
    </tableColumn>
    <tableColumn id="9" xr3:uid="{4E957C1F-4E22-4BF6-9C8E-92E6070E1F8A}" name="Service Time Start" dataDxfId="4">
      <calculatedColumnFormula>(SimulationTable[[#This Row],[Arrival  Time]]-H35)</calculatedColumnFormula>
    </tableColumn>
    <tableColumn id="8" xr3:uid="{4365D6CE-65EF-4949-A751-18F5CDA7B83D}" name="Waiting Time" totalsRowFunction="custom" dataDxfId="3">
      <calculatedColumnFormula>(SimulationTable[[#This Row],[Service Time Start]]-SimulationTable[[#This Row],[Arrival  Time]])</calculatedColumnFormula>
      <totalsRowFormula>SUBTOTAL(9, SimulationTable[Waiting Time])</totalsRowFormula>
    </tableColumn>
    <tableColumn id="10" xr3:uid="{373D56D2-7715-4680-BECF-AF007CE4E0FE}" name="Service Time End" dataDxfId="2">
      <calculatedColumnFormula>(SimulationTable[[#This Row],[Service Time Start]]+SimulationTable[[#This Row],[ServiceTime]])</calculatedColumnFormula>
    </tableColumn>
    <tableColumn id="11" xr3:uid="{AF0344EE-D6EC-4162-AE66-93F0440DC4BB}" name="Time In System" totalsRowFunction="custom" dataDxfId="1">
      <calculatedColumnFormula>(SimulationTable[[#This Row],[ServiceTime]]+SimulationTable[[#This Row],[Waiting Time]])</calculatedColumnFormula>
      <totalsRowFormula>SUBTOTAL(9, SimulationTable[Time In System])</totalsRowFormula>
    </tableColumn>
    <tableColumn id="12" xr3:uid="{FF7F4A8D-FAB6-4715-A5F7-8D03F6824D09}" name="Server Idle Time" totalsRowFunction="custom" dataDxfId="0">
      <calculatedColumnFormula>(SimulationTable[[#This Row],[Service Time Start]]-H35)</calculatedColumnFormula>
      <totalsRowFormula>SUBTOTAL(9, SimulationTable[Server Idle Time])</totalsRowFormula>
    </tableColumn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workbookViewId="0">
      <selection activeCell="T25" sqref="T25"/>
    </sheetView>
  </sheetViews>
  <sheetFormatPr defaultRowHeight="15" x14ac:dyDescent="0.25"/>
  <sheetData>
    <row r="1" spans="1:10" ht="15" customHeight="1" x14ac:dyDescent="0.25">
      <c r="A1" s="22" t="s">
        <v>0</v>
      </c>
      <c r="B1" s="22"/>
      <c r="C1" s="22"/>
      <c r="D1" s="22"/>
      <c r="E1" s="22"/>
      <c r="F1" s="22"/>
      <c r="G1" s="22"/>
      <c r="H1" s="1"/>
      <c r="I1" s="1"/>
      <c r="J1" s="1"/>
    </row>
    <row r="2" spans="1:10" x14ac:dyDescent="0.25">
      <c r="A2" s="22"/>
      <c r="B2" s="22"/>
      <c r="C2" s="22"/>
      <c r="D2" s="22"/>
      <c r="E2" s="22"/>
      <c r="F2" s="22"/>
      <c r="G2" s="22"/>
    </row>
    <row r="3" spans="1:10" x14ac:dyDescent="0.25">
      <c r="A3" s="3"/>
      <c r="B3" s="2"/>
      <c r="C3" s="15" t="s">
        <v>1</v>
      </c>
      <c r="D3" s="16"/>
      <c r="E3" s="17"/>
    </row>
    <row r="4" spans="1:10" x14ac:dyDescent="0.25">
      <c r="A4" s="4"/>
      <c r="B4" s="5"/>
      <c r="C4" s="18" t="s">
        <v>3</v>
      </c>
      <c r="D4" s="18" t="s">
        <v>4</v>
      </c>
      <c r="E4" s="18" t="s">
        <v>5</v>
      </c>
    </row>
    <row r="5" spans="1:10" x14ac:dyDescent="0.25">
      <c r="A5" s="19" t="s">
        <v>2</v>
      </c>
      <c r="B5" s="18">
        <v>1</v>
      </c>
      <c r="C5" s="6">
        <f ca="1">RANDBETWEEN(1,6)</f>
        <v>3</v>
      </c>
      <c r="D5" s="7">
        <f t="shared" ref="D5:E9" ca="1" si="0">RANDBETWEEN(1,6)</f>
        <v>4</v>
      </c>
      <c r="E5" s="8">
        <f t="shared" ca="1" si="0"/>
        <v>5</v>
      </c>
    </row>
    <row r="6" spans="1:10" x14ac:dyDescent="0.25">
      <c r="A6" s="20"/>
      <c r="B6" s="18">
        <v>2</v>
      </c>
      <c r="C6" s="9">
        <f t="shared" ref="C6:C9" ca="1" si="1">RANDBETWEEN(1,6)</f>
        <v>5</v>
      </c>
      <c r="D6" s="10">
        <f t="shared" ca="1" si="0"/>
        <v>4</v>
      </c>
      <c r="E6" s="11">
        <f t="shared" ca="1" si="0"/>
        <v>5</v>
      </c>
    </row>
    <row r="7" spans="1:10" x14ac:dyDescent="0.25">
      <c r="A7" s="20"/>
      <c r="B7" s="18">
        <v>3</v>
      </c>
      <c r="C7" s="9">
        <f t="shared" ca="1" si="1"/>
        <v>4</v>
      </c>
      <c r="D7" s="10">
        <f t="shared" ca="1" si="0"/>
        <v>5</v>
      </c>
      <c r="E7" s="11">
        <f t="shared" ca="1" si="0"/>
        <v>6</v>
      </c>
    </row>
    <row r="8" spans="1:10" x14ac:dyDescent="0.25">
      <c r="A8" s="20"/>
      <c r="B8" s="18">
        <v>4</v>
      </c>
      <c r="C8" s="9">
        <f t="shared" ca="1" si="1"/>
        <v>1</v>
      </c>
      <c r="D8" s="10">
        <f t="shared" ca="1" si="0"/>
        <v>6</v>
      </c>
      <c r="E8" s="11">
        <f t="shared" ca="1" si="0"/>
        <v>1</v>
      </c>
    </row>
    <row r="9" spans="1:10" x14ac:dyDescent="0.25">
      <c r="A9" s="21"/>
      <c r="B9" s="18">
        <v>5</v>
      </c>
      <c r="C9" s="12">
        <f t="shared" ca="1" si="1"/>
        <v>4</v>
      </c>
      <c r="D9" s="13">
        <f t="shared" ca="1" si="0"/>
        <v>6</v>
      </c>
      <c r="E9" s="14">
        <f t="shared" ca="1" si="0"/>
        <v>1</v>
      </c>
    </row>
  </sheetData>
  <mergeCells count="4">
    <mergeCell ref="A1:G2"/>
    <mergeCell ref="C3:E3"/>
    <mergeCell ref="A5:A9"/>
    <mergeCell ref="A3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C9AF7-8512-43D2-AEAF-F21C170E53DF}">
  <dimension ref="A1:L68"/>
  <sheetViews>
    <sheetView tabSelected="1" zoomScale="70" zoomScaleNormal="70" workbookViewId="0">
      <selection activeCell="N31" sqref="N31"/>
    </sheetView>
  </sheetViews>
  <sheetFormatPr defaultRowHeight="15" x14ac:dyDescent="0.25"/>
  <cols>
    <col min="1" max="1" width="24.85546875" bestFit="1" customWidth="1"/>
    <col min="2" max="2" width="10.42578125" customWidth="1"/>
    <col min="3" max="3" width="11.140625" bestFit="1" customWidth="1"/>
    <col min="4" max="4" width="14.7109375" bestFit="1" customWidth="1"/>
    <col min="5" max="5" width="13" bestFit="1" customWidth="1"/>
    <col min="6" max="6" width="13.5703125" customWidth="1"/>
    <col min="7" max="7" width="7.85546875" bestFit="1" customWidth="1"/>
    <col min="8" max="8" width="12" bestFit="1" customWidth="1"/>
    <col min="9" max="10" width="13.5703125" bestFit="1" customWidth="1"/>
    <col min="11" max="11" width="12.85546875" bestFit="1" customWidth="1"/>
    <col min="12" max="12" width="13" bestFit="1" customWidth="1"/>
  </cols>
  <sheetData>
    <row r="1" spans="1:12" x14ac:dyDescent="0.25">
      <c r="A1" s="24" t="s">
        <v>6</v>
      </c>
      <c r="B1" s="24"/>
      <c r="C1" s="24"/>
      <c r="D1" s="24"/>
      <c r="E1" s="24"/>
      <c r="F1" s="24"/>
      <c r="G1" s="24"/>
      <c r="H1" s="24"/>
      <c r="I1" s="24"/>
    </row>
    <row r="2" spans="1:12" x14ac:dyDescent="0.25">
      <c r="A2" t="s">
        <v>14</v>
      </c>
    </row>
    <row r="4" spans="1:12" x14ac:dyDescent="0.25">
      <c r="A4" t="s">
        <v>7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</row>
    <row r="5" spans="1:12" x14ac:dyDescent="0.25">
      <c r="A5" t="s">
        <v>8</v>
      </c>
      <c r="B5">
        <v>0.1</v>
      </c>
      <c r="C5">
        <v>0.2</v>
      </c>
      <c r="D5">
        <v>0.3</v>
      </c>
      <c r="E5">
        <v>0.25</v>
      </c>
      <c r="F5">
        <v>0.1</v>
      </c>
      <c r="G5">
        <v>0.05</v>
      </c>
    </row>
    <row r="7" spans="1:12" x14ac:dyDescent="0.25">
      <c r="A7" t="s">
        <v>9</v>
      </c>
      <c r="B7" t="s">
        <v>11</v>
      </c>
      <c r="C7">
        <v>913</v>
      </c>
      <c r="D7">
        <v>727</v>
      </c>
      <c r="E7">
        <v>15</v>
      </c>
      <c r="F7">
        <v>948</v>
      </c>
      <c r="G7">
        <v>309</v>
      </c>
    </row>
    <row r="8" spans="1:12" x14ac:dyDescent="0.25">
      <c r="A8" t="s">
        <v>10</v>
      </c>
      <c r="B8">
        <v>84</v>
      </c>
      <c r="C8">
        <v>10</v>
      </c>
      <c r="D8">
        <v>74</v>
      </c>
      <c r="E8">
        <v>53</v>
      </c>
      <c r="F8">
        <v>17</v>
      </c>
      <c r="G8">
        <v>79</v>
      </c>
    </row>
    <row r="11" spans="1:12" x14ac:dyDescent="0.25">
      <c r="C11" s="23" t="s">
        <v>12</v>
      </c>
      <c r="D11" s="23"/>
      <c r="E11" s="23"/>
      <c r="G11" s="25"/>
      <c r="I11" s="23" t="s">
        <v>21</v>
      </c>
      <c r="J11" s="23"/>
      <c r="K11" s="23"/>
    </row>
    <row r="12" spans="1:12" ht="60" x14ac:dyDescent="0.25">
      <c r="B12" s="26" t="s">
        <v>15</v>
      </c>
      <c r="C12" s="26" t="s">
        <v>16</v>
      </c>
      <c r="D12" s="26" t="s">
        <v>17</v>
      </c>
      <c r="E12" s="26" t="s">
        <v>18</v>
      </c>
      <c r="F12" s="26" t="s">
        <v>19</v>
      </c>
      <c r="H12" s="26" t="s">
        <v>22</v>
      </c>
      <c r="I12" s="26" t="s">
        <v>8</v>
      </c>
      <c r="J12" s="26" t="s">
        <v>17</v>
      </c>
      <c r="K12" s="26" t="s">
        <v>18</v>
      </c>
      <c r="L12" s="26" t="s">
        <v>19</v>
      </c>
    </row>
    <row r="13" spans="1:12" x14ac:dyDescent="0.25">
      <c r="B13">
        <v>1</v>
      </c>
      <c r="C13">
        <f>1/$B$20</f>
        <v>0.125</v>
      </c>
      <c r="D13">
        <f>SUM($C$13:C13)</f>
        <v>0.125</v>
      </c>
      <c r="E13" s="27">
        <v>1</v>
      </c>
      <c r="F13">
        <f>ArrivalDistribution[[#This Row],[Cumulative Probability]]*1000</f>
        <v>125</v>
      </c>
      <c r="H13">
        <v>1</v>
      </c>
      <c r="I13">
        <v>0.1</v>
      </c>
      <c r="J13">
        <f>SUM($I$13:I13)</f>
        <v>0.1</v>
      </c>
      <c r="K13" s="27">
        <v>1</v>
      </c>
      <c r="L13">
        <f>ServiceDistribution3[[#This Row],[Cumulative Probability]]*100</f>
        <v>10</v>
      </c>
    </row>
    <row r="14" spans="1:12" x14ac:dyDescent="0.25">
      <c r="B14">
        <v>2</v>
      </c>
      <c r="C14">
        <f>1/$B$20</f>
        <v>0.125</v>
      </c>
      <c r="D14">
        <f>SUM($C$13:C14)</f>
        <v>0.25</v>
      </c>
      <c r="E14">
        <f>F13+1</f>
        <v>126</v>
      </c>
      <c r="F14">
        <f>ArrivalDistribution[[#This Row],[Cumulative Probability]]*1000</f>
        <v>250</v>
      </c>
      <c r="H14">
        <v>2</v>
      </c>
      <c r="I14">
        <v>0.2</v>
      </c>
      <c r="J14">
        <f>SUM($I$13:I14)</f>
        <v>0.30000000000000004</v>
      </c>
      <c r="K14">
        <f>L13+1</f>
        <v>11</v>
      </c>
      <c r="L14">
        <f>ServiceDistribution3[[#This Row],[Cumulative Probability]]*100</f>
        <v>30.000000000000004</v>
      </c>
    </row>
    <row r="15" spans="1:12" x14ac:dyDescent="0.25">
      <c r="B15">
        <v>3</v>
      </c>
      <c r="C15">
        <f>1/$B$20</f>
        <v>0.125</v>
      </c>
      <c r="D15">
        <f>SUM($C$13:C15)</f>
        <v>0.375</v>
      </c>
      <c r="E15">
        <f t="shared" ref="E15:E20" si="0">F14+1</f>
        <v>251</v>
      </c>
      <c r="F15">
        <f>ArrivalDistribution[[#This Row],[Cumulative Probability]]*1000</f>
        <v>375</v>
      </c>
      <c r="H15">
        <v>3</v>
      </c>
      <c r="I15">
        <v>0.3</v>
      </c>
      <c r="J15">
        <f>SUM($I$13:I15)</f>
        <v>0.60000000000000009</v>
      </c>
      <c r="K15">
        <f t="shared" ref="K15:K20" si="1">L14+1</f>
        <v>31.000000000000004</v>
      </c>
      <c r="L15">
        <f>ServiceDistribution3[[#This Row],[Cumulative Probability]]*100</f>
        <v>60.000000000000007</v>
      </c>
    </row>
    <row r="16" spans="1:12" x14ac:dyDescent="0.25">
      <c r="B16">
        <v>4</v>
      </c>
      <c r="C16">
        <f>1/$B$20</f>
        <v>0.125</v>
      </c>
      <c r="D16">
        <f>SUM($C$13:C16)</f>
        <v>0.5</v>
      </c>
      <c r="E16">
        <f t="shared" si="0"/>
        <v>376</v>
      </c>
      <c r="F16">
        <f>ArrivalDistribution[[#This Row],[Cumulative Probability]]*1000</f>
        <v>500</v>
      </c>
      <c r="H16">
        <v>4</v>
      </c>
      <c r="I16">
        <v>0.25</v>
      </c>
      <c r="J16">
        <f>SUM($I$13:I16)</f>
        <v>0.85000000000000009</v>
      </c>
      <c r="K16">
        <f t="shared" si="1"/>
        <v>61.000000000000007</v>
      </c>
      <c r="L16">
        <f>ServiceDistribution3[[#This Row],[Cumulative Probability]]*100</f>
        <v>85.000000000000014</v>
      </c>
    </row>
    <row r="17" spans="2:12" x14ac:dyDescent="0.25">
      <c r="B17">
        <v>5</v>
      </c>
      <c r="C17">
        <f>1/$B$20</f>
        <v>0.125</v>
      </c>
      <c r="D17">
        <f>SUM($C$13:C17)</f>
        <v>0.625</v>
      </c>
      <c r="E17">
        <f t="shared" si="0"/>
        <v>501</v>
      </c>
      <c r="F17">
        <f>ArrivalDistribution[[#This Row],[Cumulative Probability]]*1000</f>
        <v>625</v>
      </c>
      <c r="H17">
        <v>5</v>
      </c>
      <c r="I17">
        <v>0.1</v>
      </c>
      <c r="J17">
        <f>SUM($I$13:I17)</f>
        <v>0.95000000000000007</v>
      </c>
      <c r="K17">
        <f t="shared" si="1"/>
        <v>86.000000000000014</v>
      </c>
      <c r="L17">
        <f>ServiceDistribution3[[#This Row],[Cumulative Probability]]*100</f>
        <v>95</v>
      </c>
    </row>
    <row r="18" spans="2:12" x14ac:dyDescent="0.25">
      <c r="B18">
        <v>6</v>
      </c>
      <c r="C18">
        <f>1/$B$20</f>
        <v>0.125</v>
      </c>
      <c r="D18">
        <f>SUM($C$13:C18)</f>
        <v>0.75</v>
      </c>
      <c r="E18">
        <f t="shared" si="0"/>
        <v>626</v>
      </c>
      <c r="F18">
        <f>ArrivalDistribution[[#This Row],[Cumulative Probability]]*1000</f>
        <v>750</v>
      </c>
      <c r="H18">
        <v>6</v>
      </c>
      <c r="I18">
        <v>0.05</v>
      </c>
      <c r="J18">
        <f>SUM($I$13:I18)</f>
        <v>1</v>
      </c>
      <c r="K18">
        <f t="shared" si="1"/>
        <v>96</v>
      </c>
      <c r="L18">
        <v>99</v>
      </c>
    </row>
    <row r="19" spans="2:12" x14ac:dyDescent="0.25">
      <c r="B19">
        <v>7</v>
      </c>
      <c r="C19">
        <f>1/$B$20</f>
        <v>0.125</v>
      </c>
      <c r="D19">
        <f>SUM($C$13:C19)</f>
        <v>0.875</v>
      </c>
      <c r="E19">
        <f t="shared" si="0"/>
        <v>751</v>
      </c>
      <c r="F19">
        <f>ArrivalDistribution[[#This Row],[Cumulative Probability]]*1000</f>
        <v>875</v>
      </c>
    </row>
    <row r="20" spans="2:12" x14ac:dyDescent="0.25">
      <c r="B20">
        <v>8</v>
      </c>
      <c r="C20">
        <f>1/$B$20</f>
        <v>0.125</v>
      </c>
      <c r="D20">
        <f>SUM($C$13:C20)</f>
        <v>1</v>
      </c>
      <c r="E20">
        <f t="shared" si="0"/>
        <v>876</v>
      </c>
      <c r="F20">
        <v>999</v>
      </c>
    </row>
    <row r="23" spans="2:12" x14ac:dyDescent="0.25">
      <c r="C23" s="23" t="s">
        <v>24</v>
      </c>
      <c r="D23" s="23"/>
      <c r="E23" s="23"/>
      <c r="I23" s="23" t="s">
        <v>26</v>
      </c>
      <c r="J23" s="23"/>
      <c r="K23" s="23"/>
    </row>
    <row r="24" spans="2:12" ht="30" x14ac:dyDescent="0.25">
      <c r="C24" s="26" t="s">
        <v>13</v>
      </c>
      <c r="D24" s="26" t="s">
        <v>23</v>
      </c>
      <c r="E24" s="26" t="s">
        <v>25</v>
      </c>
      <c r="F24" s="26"/>
      <c r="I24" s="26" t="s">
        <v>13</v>
      </c>
      <c r="J24" s="26" t="s">
        <v>23</v>
      </c>
      <c r="K24" s="26" t="s">
        <v>27</v>
      </c>
    </row>
    <row r="25" spans="2:12" x14ac:dyDescent="0.25">
      <c r="C25">
        <v>1</v>
      </c>
      <c r="I25">
        <v>1</v>
      </c>
      <c r="J25">
        <f t="shared" ref="J25:J30" ca="1" si="2">RANDBETWEEN($K$13,$L$18)</f>
        <v>11</v>
      </c>
      <c r="K25">
        <f ca="1">INDEX(ServiceDistribution3[Service Time], MATCH(ServiceTimeAssignment[[#This Row],[RandomDigit]], ServiceDistribution3[Random Digit FROM], 1))</f>
        <v>2</v>
      </c>
    </row>
    <row r="26" spans="2:12" x14ac:dyDescent="0.25">
      <c r="C26">
        <v>2</v>
      </c>
      <c r="D26">
        <f t="shared" ref="D26:D30" ca="1" si="3">RANDBETWEEN($E$13,$F$20)</f>
        <v>829</v>
      </c>
      <c r="E26">
        <f ca="1">INDEX(ArrivalDistribution[Inter-Arrival Time], MATCH(ArrivalAssignment[[#This Row],[RandomDigit]], ArrivalDistribution[Random Digit FROM], 1))</f>
        <v>7</v>
      </c>
      <c r="I26">
        <v>2</v>
      </c>
      <c r="J26">
        <f t="shared" ca="1" si="2"/>
        <v>13</v>
      </c>
      <c r="K26">
        <f ca="1">INDEX(ServiceDistribution3[Service Time], MATCH(ServiceTimeAssignment[[#This Row],[RandomDigit]], ServiceDistribution3[Random Digit FROM], 1))</f>
        <v>2</v>
      </c>
    </row>
    <row r="27" spans="2:12" x14ac:dyDescent="0.25">
      <c r="C27">
        <v>3</v>
      </c>
      <c r="D27">
        <f t="shared" ca="1" si="3"/>
        <v>582</v>
      </c>
      <c r="E27">
        <f ca="1">INDEX(ArrivalDistribution[Inter-Arrival Time], MATCH(ArrivalAssignment[[#This Row],[RandomDigit]], ArrivalDistribution[Random Digit FROM], 1))</f>
        <v>5</v>
      </c>
      <c r="I27">
        <v>3</v>
      </c>
      <c r="J27">
        <f t="shared" ca="1" si="2"/>
        <v>65</v>
      </c>
      <c r="K27">
        <f ca="1">INDEX(ServiceDistribution3[Service Time], MATCH(ServiceTimeAssignment[[#This Row],[RandomDigit]], ServiceDistribution3[Random Digit FROM], 1))</f>
        <v>4</v>
      </c>
    </row>
    <row r="28" spans="2:12" x14ac:dyDescent="0.25">
      <c r="C28">
        <v>4</v>
      </c>
      <c r="D28">
        <f t="shared" ca="1" si="3"/>
        <v>623</v>
      </c>
      <c r="E28">
        <f ca="1">INDEX(ArrivalDistribution[Inter-Arrival Time], MATCH(ArrivalAssignment[[#This Row],[RandomDigit]], ArrivalDistribution[Random Digit FROM], 1))</f>
        <v>5</v>
      </c>
      <c r="I28">
        <v>4</v>
      </c>
      <c r="J28">
        <f t="shared" ca="1" si="2"/>
        <v>98</v>
      </c>
      <c r="K28">
        <f ca="1">INDEX(ServiceDistribution3[Service Time], MATCH(ServiceTimeAssignment[[#This Row],[RandomDigit]], ServiceDistribution3[Random Digit FROM], 1))</f>
        <v>6</v>
      </c>
    </row>
    <row r="29" spans="2:12" x14ac:dyDescent="0.25">
      <c r="C29">
        <v>5</v>
      </c>
      <c r="D29">
        <f t="shared" ca="1" si="3"/>
        <v>319</v>
      </c>
      <c r="E29">
        <f ca="1">INDEX(ArrivalDistribution[Inter-Arrival Time], MATCH(ArrivalAssignment[[#This Row],[RandomDigit]], ArrivalDistribution[Random Digit FROM], 1))</f>
        <v>3</v>
      </c>
      <c r="I29">
        <v>5</v>
      </c>
      <c r="J29">
        <f t="shared" ca="1" si="2"/>
        <v>43</v>
      </c>
      <c r="K29">
        <f ca="1">INDEX(ServiceDistribution3[Service Time], MATCH(ServiceTimeAssignment[[#This Row],[RandomDigit]], ServiceDistribution3[Random Digit FROM], 1))</f>
        <v>3</v>
      </c>
    </row>
    <row r="30" spans="2:12" x14ac:dyDescent="0.25">
      <c r="C30">
        <v>6</v>
      </c>
      <c r="D30">
        <f t="shared" ca="1" si="3"/>
        <v>50</v>
      </c>
      <c r="E30">
        <f ca="1">INDEX(ArrivalDistribution[Inter-Arrival Time], MATCH(ArrivalAssignment[[#This Row],[RandomDigit]], ArrivalDistribution[Random Digit FROM], 1))</f>
        <v>1</v>
      </c>
      <c r="I30">
        <v>6</v>
      </c>
      <c r="J30">
        <f t="shared" ca="1" si="2"/>
        <v>66</v>
      </c>
      <c r="K30">
        <f ca="1">INDEX(ServiceDistribution3[Service Time], MATCH(ServiceTimeAssignment[[#This Row],[RandomDigit]], ServiceDistribution3[Random Digit FROM], 1))</f>
        <v>4</v>
      </c>
    </row>
    <row r="34" spans="2:10" x14ac:dyDescent="0.25">
      <c r="C34" s="33" t="s">
        <v>28</v>
      </c>
    </row>
    <row r="35" spans="2:10" ht="30" x14ac:dyDescent="0.25">
      <c r="B35" s="26" t="s">
        <v>13</v>
      </c>
      <c r="C35" s="26" t="s">
        <v>29</v>
      </c>
      <c r="D35" s="26" t="s">
        <v>31</v>
      </c>
      <c r="E35" s="26" t="s">
        <v>30</v>
      </c>
      <c r="F35" s="26" t="s">
        <v>32</v>
      </c>
      <c r="G35" s="26" t="s">
        <v>34</v>
      </c>
      <c r="H35" s="26" t="s">
        <v>33</v>
      </c>
      <c r="I35" s="26" t="s">
        <v>35</v>
      </c>
      <c r="J35" s="26" t="s">
        <v>36</v>
      </c>
    </row>
    <row r="36" spans="2:10" x14ac:dyDescent="0.25">
      <c r="B36">
        <v>1</v>
      </c>
      <c r="C36">
        <v>0</v>
      </c>
      <c r="D36">
        <v>0</v>
      </c>
      <c r="E36">
        <f ca="1">INDEX(ServiceTimeAssignment[Selected Service Time], MATCH(SimulationTable[[#This Row],[Customer]], ServiceTimeAssignment[Customer],0))</f>
        <v>2</v>
      </c>
      <c r="F36" s="28">
        <v>0</v>
      </c>
      <c r="G36" s="28">
        <f>(SimulationTable[[#This Row],[Service Time Start]]-SimulationTable[[#This Row],[Arrival  Time]])</f>
        <v>0</v>
      </c>
      <c r="H36" s="28">
        <f ca="1">(SimulationTable[[#This Row],[Service Time Start]]+SimulationTable[[#This Row],[ServiceTime]])</f>
        <v>2</v>
      </c>
      <c r="I36" s="28">
        <f ca="1">(SimulationTable[[#This Row],[ServiceTime]]+SimulationTable[[#This Row],[Waiting Time]])</f>
        <v>2</v>
      </c>
      <c r="J36" s="28">
        <v>0</v>
      </c>
    </row>
    <row r="37" spans="2:10" x14ac:dyDescent="0.25">
      <c r="B37">
        <v>2</v>
      </c>
      <c r="C37">
        <f ca="1">INDEX(ArrivalAssignment[Selected Arrival Time], MATCH(SimulationTable[[#This Row],[Customer]], ArrivalAssignment[Customer],0))</f>
        <v>7</v>
      </c>
      <c r="D37">
        <f ca="1">(SimulationTable[[#This Row],[IAT]]+D36)</f>
        <v>7</v>
      </c>
      <c r="E37">
        <f ca="1">INDEX(ServiceTimeAssignment[Selected Service Time], MATCH(SimulationTable[[#This Row],[Customer]], ServiceTimeAssignment[Customer],0))</f>
        <v>2</v>
      </c>
      <c r="F37" s="28">
        <f ca="1">MAX(SimulationTable[[#This Row],[Arrival  Time]],H36)</f>
        <v>7</v>
      </c>
      <c r="G37" s="28">
        <f ca="1">(SimulationTable[[#This Row],[Service Time Start]]-SimulationTable[[#This Row],[Arrival  Time]])</f>
        <v>0</v>
      </c>
      <c r="H37" s="28">
        <f ca="1">(SimulationTable[[#This Row],[Service Time Start]]+SimulationTable[[#This Row],[ServiceTime]])</f>
        <v>9</v>
      </c>
      <c r="I37" s="28">
        <f ca="1">(SimulationTable[[#This Row],[ServiceTime]]+SimulationTable[[#This Row],[Waiting Time]])</f>
        <v>2</v>
      </c>
      <c r="J37" s="28">
        <f ca="1">(SimulationTable[[#This Row],[Service Time Start]]-H36)</f>
        <v>5</v>
      </c>
    </row>
    <row r="38" spans="2:10" x14ac:dyDescent="0.25">
      <c r="B38">
        <v>3</v>
      </c>
      <c r="C38">
        <f ca="1">INDEX(ArrivalAssignment[Selected Arrival Time], MATCH(SimulationTable[[#This Row],[Customer]], ArrivalAssignment[Customer],0))</f>
        <v>5</v>
      </c>
      <c r="D38">
        <f ca="1">(SimulationTable[[#This Row],[IAT]]+D37)</f>
        <v>12</v>
      </c>
      <c r="E38">
        <f ca="1">INDEX(ServiceTimeAssignment[Selected Service Time], MATCH(SimulationTable[[#This Row],[Customer]], ServiceTimeAssignment[Customer],0))</f>
        <v>4</v>
      </c>
      <c r="F38" s="28">
        <f ca="1">MAX(SimulationTable[[#This Row],[Arrival  Time]],H37)</f>
        <v>12</v>
      </c>
      <c r="G38" s="28">
        <f ca="1">(SimulationTable[[#This Row],[Service Time Start]]-SimulationTable[[#This Row],[Arrival  Time]])</f>
        <v>0</v>
      </c>
      <c r="H38" s="28">
        <f ca="1">(SimulationTable[[#This Row],[Service Time Start]]+SimulationTable[[#This Row],[ServiceTime]])</f>
        <v>16</v>
      </c>
      <c r="I38" s="28">
        <f ca="1">(SimulationTable[[#This Row],[ServiceTime]]+SimulationTable[[#This Row],[Waiting Time]])</f>
        <v>4</v>
      </c>
      <c r="J38" s="28">
        <f ca="1">(SimulationTable[[#This Row],[Service Time Start]]-H37)</f>
        <v>3</v>
      </c>
    </row>
    <row r="39" spans="2:10" x14ac:dyDescent="0.25">
      <c r="B39">
        <v>4</v>
      </c>
      <c r="C39">
        <f ca="1">INDEX(ArrivalAssignment[Selected Arrival Time], MATCH(SimulationTable[[#This Row],[Customer]], ArrivalAssignment[Customer],0))</f>
        <v>5</v>
      </c>
      <c r="D39">
        <f ca="1">(SimulationTable[[#This Row],[IAT]]+D38)</f>
        <v>17</v>
      </c>
      <c r="E39">
        <f ca="1">INDEX(ServiceTimeAssignment[Selected Service Time], MATCH(SimulationTable[[#This Row],[Customer]], ServiceTimeAssignment[Customer],0))</f>
        <v>6</v>
      </c>
      <c r="F39" s="28">
        <f ca="1">MAX(SimulationTable[[#This Row],[Arrival  Time]],H38)</f>
        <v>17</v>
      </c>
      <c r="G39" s="28">
        <f ca="1">(SimulationTable[[#This Row],[Service Time Start]]-SimulationTable[[#This Row],[Arrival  Time]])</f>
        <v>0</v>
      </c>
      <c r="H39" s="28">
        <f ca="1">(SimulationTable[[#This Row],[Service Time Start]]+SimulationTable[[#This Row],[ServiceTime]])</f>
        <v>23</v>
      </c>
      <c r="I39" s="28">
        <f ca="1">(SimulationTable[[#This Row],[ServiceTime]]+SimulationTable[[#This Row],[Waiting Time]])</f>
        <v>6</v>
      </c>
      <c r="J39" s="28">
        <f ca="1">(SimulationTable[[#This Row],[Service Time Start]]-H38)</f>
        <v>1</v>
      </c>
    </row>
    <row r="40" spans="2:10" x14ac:dyDescent="0.25">
      <c r="B40">
        <v>5</v>
      </c>
      <c r="C40">
        <f ca="1">INDEX(ArrivalAssignment[Selected Arrival Time], MATCH(SimulationTable[[#This Row],[Customer]], ArrivalAssignment[Customer],0))</f>
        <v>3</v>
      </c>
      <c r="D40">
        <f ca="1">(SimulationTable[[#This Row],[IAT]]+D39)</f>
        <v>20</v>
      </c>
      <c r="E40">
        <f ca="1">INDEX(ServiceTimeAssignment[Selected Service Time], MATCH(SimulationTable[[#This Row],[Customer]], ServiceTimeAssignment[Customer],0))</f>
        <v>3</v>
      </c>
      <c r="F40" s="28">
        <f ca="1">MAX(SimulationTable[[#This Row],[Arrival  Time]],H39)</f>
        <v>23</v>
      </c>
      <c r="G40" s="28">
        <f ca="1">(SimulationTable[[#This Row],[Service Time Start]]-SimulationTable[[#This Row],[Arrival  Time]])</f>
        <v>3</v>
      </c>
      <c r="H40" s="28">
        <f ca="1">(SimulationTable[[#This Row],[Service Time Start]]+SimulationTable[[#This Row],[ServiceTime]])</f>
        <v>26</v>
      </c>
      <c r="I40" s="28">
        <f ca="1">(SimulationTable[[#This Row],[ServiceTime]]+SimulationTable[[#This Row],[Waiting Time]])</f>
        <v>6</v>
      </c>
      <c r="J40" s="28">
        <f ca="1">(SimulationTable[[#This Row],[Service Time Start]]-H39)</f>
        <v>0</v>
      </c>
    </row>
    <row r="41" spans="2:10" x14ac:dyDescent="0.25">
      <c r="B41">
        <v>6</v>
      </c>
      <c r="C41">
        <f ca="1">INDEX(ArrivalAssignment[Selected Arrival Time], MATCH(SimulationTable[[#This Row],[Customer]], ArrivalAssignment[Customer],0))</f>
        <v>1</v>
      </c>
      <c r="D41">
        <f ca="1">(SimulationTable[[#This Row],[IAT]]+D40)</f>
        <v>21</v>
      </c>
      <c r="E41">
        <f ca="1">INDEX(ServiceTimeAssignment[Selected Service Time], MATCH(SimulationTable[[#This Row],[Customer]], ServiceTimeAssignment[Customer],0))</f>
        <v>4</v>
      </c>
      <c r="F41" s="28">
        <f ca="1">MAX(SimulationTable[[#This Row],[Arrival  Time]],H40)</f>
        <v>26</v>
      </c>
      <c r="G41" s="28">
        <f ca="1">(SimulationTable[[#This Row],[Service Time Start]]-SimulationTable[[#This Row],[Arrival  Time]])</f>
        <v>5</v>
      </c>
      <c r="H41" s="28">
        <f ca="1">(SimulationTable[[#This Row],[Service Time Start]]+SimulationTable[[#This Row],[ServiceTime]])</f>
        <v>30</v>
      </c>
      <c r="I41" s="28">
        <f ca="1">(SimulationTable[[#This Row],[ServiceTime]]+SimulationTable[[#This Row],[Waiting Time]])</f>
        <v>9</v>
      </c>
      <c r="J41" s="28">
        <f ca="1">(SimulationTable[[#This Row],[Service Time Start]]-H40)</f>
        <v>0</v>
      </c>
    </row>
    <row r="42" spans="2:10" x14ac:dyDescent="0.25">
      <c r="B42" t="s">
        <v>20</v>
      </c>
      <c r="C42">
        <f ca="1">SUBTOTAL(9, SimulationTable[IAT])</f>
        <v>21</v>
      </c>
      <c r="D42">
        <f ca="1">SUBTOTAL(9, SimulationTable[Arrival  Time])</f>
        <v>77</v>
      </c>
      <c r="E42">
        <f ca="1">SUBTOTAL(9, SimulationTable[ServiceTime])</f>
        <v>21</v>
      </c>
      <c r="G42">
        <f ca="1">SUBTOTAL(9, SimulationTable[Waiting Time])</f>
        <v>8</v>
      </c>
      <c r="I42">
        <f ca="1">SUBTOTAL(9, SimulationTable[Time In System])</f>
        <v>29</v>
      </c>
      <c r="J42">
        <f ca="1">SUBTOTAL(9, SimulationTable[Server Idle Time])</f>
        <v>9</v>
      </c>
    </row>
    <row r="46" spans="2:10" ht="27.75" customHeight="1" x14ac:dyDescent="0.25">
      <c r="B46" s="29" t="s">
        <v>48</v>
      </c>
      <c r="C46" s="29"/>
      <c r="D46" s="29"/>
      <c r="E46" s="32" t="s">
        <v>37</v>
      </c>
      <c r="F46" s="32"/>
      <c r="G46" s="32"/>
    </row>
    <row r="47" spans="2:10" x14ac:dyDescent="0.25">
      <c r="B47" s="30"/>
      <c r="C47" s="30"/>
      <c r="D47" s="30" t="s">
        <v>44</v>
      </c>
      <c r="E47" s="31">
        <f ca="1">(SimulationTable[[#Totals],[Waiting Time]] / COUNT(SimulationTable[Customer]) )</f>
        <v>1.3333333333333333</v>
      </c>
      <c r="F47" s="31"/>
      <c r="G47" s="31"/>
    </row>
    <row r="50" spans="2:7" x14ac:dyDescent="0.25">
      <c r="B50" s="29" t="s">
        <v>45</v>
      </c>
      <c r="C50" s="29"/>
      <c r="D50" s="29"/>
      <c r="E50" s="32" t="s">
        <v>38</v>
      </c>
      <c r="F50" s="32"/>
      <c r="G50" s="32"/>
    </row>
    <row r="51" spans="2:7" x14ac:dyDescent="0.25">
      <c r="B51" s="30"/>
      <c r="C51" s="30"/>
      <c r="D51" s="30" t="s">
        <v>44</v>
      </c>
      <c r="E51" s="31">
        <f ca="1">(COUNTIF(SimulationTable[Waiting Time], "&gt;0") / COUNT(SimulationTable[Customer]) )</f>
        <v>0.33333333333333331</v>
      </c>
      <c r="F51" s="31"/>
      <c r="G51" s="31"/>
    </row>
    <row r="53" spans="2:7" x14ac:dyDescent="0.25">
      <c r="B53" s="29" t="s">
        <v>46</v>
      </c>
      <c r="C53" s="29"/>
      <c r="D53" s="29"/>
      <c r="E53" s="32" t="s">
        <v>39</v>
      </c>
      <c r="F53" s="32"/>
      <c r="G53" s="32"/>
    </row>
    <row r="54" spans="2:7" x14ac:dyDescent="0.25">
      <c r="B54" s="30"/>
      <c r="C54" s="30"/>
      <c r="D54" s="30" t="s">
        <v>44</v>
      </c>
      <c r="E54" s="31">
        <f ca="1">(SimulationTable[[#Totals],[Server Idle Time]] / $H$41 )</f>
        <v>0.3</v>
      </c>
      <c r="F54" s="31"/>
      <c r="G54" s="31"/>
    </row>
    <row r="56" spans="2:7" x14ac:dyDescent="0.25">
      <c r="B56" s="29" t="s">
        <v>47</v>
      </c>
      <c r="C56" s="29"/>
      <c r="D56" s="29"/>
      <c r="E56" s="32" t="s">
        <v>40</v>
      </c>
    </row>
    <row r="57" spans="2:7" x14ac:dyDescent="0.25">
      <c r="B57" s="30"/>
      <c r="C57" s="30"/>
      <c r="D57" s="30" t="s">
        <v>44</v>
      </c>
      <c r="E57" s="31">
        <f ca="1">(SimulationTable[[#Totals],[Server Idle Time]] / COUNT(SimulationTable[Customer])  )</f>
        <v>1.5</v>
      </c>
    </row>
    <row r="59" spans="2:7" x14ac:dyDescent="0.25">
      <c r="B59" s="29" t="s">
        <v>49</v>
      </c>
      <c r="C59" s="29"/>
      <c r="D59" s="29"/>
      <c r="E59" s="32" t="s">
        <v>41</v>
      </c>
    </row>
    <row r="60" spans="2:7" x14ac:dyDescent="0.25">
      <c r="B60" s="30"/>
      <c r="C60" s="30"/>
      <c r="D60" s="30" t="s">
        <v>44</v>
      </c>
      <c r="E60" s="31">
        <f ca="1">(SimulationTable[[#Totals],[IAT]] / COUNT(SimulationTable[Customer]) - 1)</f>
        <v>2.5</v>
      </c>
    </row>
    <row r="62" spans="2:7" x14ac:dyDescent="0.25">
      <c r="B62" s="29" t="s">
        <v>43</v>
      </c>
      <c r="C62" s="29"/>
      <c r="D62" s="29"/>
      <c r="E62" s="32" t="s">
        <v>42</v>
      </c>
    </row>
    <row r="63" spans="2:7" x14ac:dyDescent="0.25">
      <c r="B63" s="30"/>
      <c r="C63" s="30"/>
      <c r="D63" s="30" t="s">
        <v>44</v>
      </c>
      <c r="E63" s="31">
        <f ca="1">(SimulationTable[[#Totals],[Time In System]] / COUNT(SimulationTable[Customer])  )</f>
        <v>4.833333333333333</v>
      </c>
    </row>
    <row r="65" spans="2:5" x14ac:dyDescent="0.25">
      <c r="B65" s="29" t="s">
        <v>50</v>
      </c>
      <c r="C65" s="29"/>
      <c r="D65" s="29"/>
      <c r="E65" s="32" t="s">
        <v>51</v>
      </c>
    </row>
    <row r="66" spans="2:5" x14ac:dyDescent="0.25">
      <c r="B66" s="30"/>
      <c r="C66" s="30"/>
      <c r="D66" s="30" t="s">
        <v>44</v>
      </c>
      <c r="E66" t="s">
        <v>52</v>
      </c>
    </row>
    <row r="67" spans="2:5" x14ac:dyDescent="0.25">
      <c r="D67" s="30" t="s">
        <v>44</v>
      </c>
      <c r="E67" t="s">
        <v>53</v>
      </c>
    </row>
    <row r="68" spans="2:5" x14ac:dyDescent="0.25">
      <c r="D68" s="30" t="s">
        <v>44</v>
      </c>
      <c r="E68" s="31">
        <f ca="1">((SimulationTable[[#Totals],[ServiceTime]] )  / (SimulationTable[[#Totals], [ServiceTime]] + SimulationTable[[#Totals], [Server Idle Time]]))</f>
        <v>0.7</v>
      </c>
    </row>
  </sheetData>
  <mergeCells count="12">
    <mergeCell ref="B62:D62"/>
    <mergeCell ref="B65:D65"/>
    <mergeCell ref="B46:D46"/>
    <mergeCell ref="B50:D50"/>
    <mergeCell ref="B53:D53"/>
    <mergeCell ref="B56:D56"/>
    <mergeCell ref="B59:D59"/>
    <mergeCell ref="A1:I1"/>
    <mergeCell ref="C11:E11"/>
    <mergeCell ref="I11:K11"/>
    <mergeCell ref="C23:E23"/>
    <mergeCell ref="I23:K23"/>
  </mergeCells>
  <phoneticPr fontId="2" type="noConversion"/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8880E-D442-48EF-BFFD-4B14C3DD8F2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Q2-Dice</vt:lpstr>
      <vt:lpstr>Q3-SingleServerQueueSim</vt:lpstr>
      <vt:lpstr>Q6-MonteCarloSim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oNebula</dc:creator>
  <cp:lastModifiedBy>Surab Parajuli</cp:lastModifiedBy>
  <dcterms:created xsi:type="dcterms:W3CDTF">2015-06-05T18:17:20Z</dcterms:created>
  <dcterms:modified xsi:type="dcterms:W3CDTF">2026-04-02T17:42:49Z</dcterms:modified>
</cp:coreProperties>
</file>